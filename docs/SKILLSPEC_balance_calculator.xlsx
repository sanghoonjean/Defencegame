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lon\Downloads\"/>
    </mc:Choice>
  </mc:AlternateContent>
  <xr:revisionPtr revIDLastSave="0" documentId="13_ncr:20001_{845C09BA-9730-4C2B-A990-C73785A4E5AC}" xr6:coauthVersionLast="47" xr6:coauthVersionMax="47" xr10:uidLastSave="{00000000-0000-0000-0000-000000000000}"/>
  <bookViews>
    <workbookView xWindow="-120" yWindow="-120" windowWidth="29040" windowHeight="15720" firstSheet="14" activeTab="17" xr2:uid="{00000000-000D-0000-FFFF-FFFF00000000}"/>
  </bookViews>
  <sheets>
    <sheet name="SKILL" sheetId="1" r:id="rId1"/>
    <sheet name="SUPPORT" sheetId="2" r:id="rId2"/>
    <sheet name="PARSED_ACTIVE" sheetId="3" r:id="rId3"/>
    <sheet name="PARSED_SUPPORT" sheetId="4" r:id="rId4"/>
    <sheet name="PARSE_SUMMARY" sheetId="5" r:id="rId5"/>
    <sheet name="DESIGN_ACTIVE" sheetId="6" r:id="rId6"/>
    <sheet name="DESIGN_SUPPORT" sheetId="7" r:id="rId7"/>
    <sheet name="DESIGN_SUMMARY" sheetId="8" r:id="rId8"/>
    <sheet name="DEFENSE_ACTIVE" sheetId="9" r:id="rId9"/>
    <sheet name="DEFENSE_SUPPORT_MODIFIERS" sheetId="10" r:id="rId10"/>
    <sheet name="DEFENSE_CONVERSION_RULES" sheetId="11" r:id="rId11"/>
    <sheet name="DEFENSE_SUMMARY" sheetId="12" r:id="rId12"/>
    <sheet name="BALANCE_INPUTS" sheetId="13" r:id="rId13"/>
    <sheet name="ENEMY_HP_CURVE" sheetId="14" r:id="rId14"/>
    <sheet name="ARCHETYPE_DPS_BUDGET" sheetId="15" r:id="rId15"/>
    <sheet name="SUPPORT_MODIFIER_CALC" sheetId="16" r:id="rId16"/>
    <sheet name="BUILD_CALCULATOR" sheetId="17" r:id="rId17"/>
    <sheet name="SKILL_DPS_BUDGET" sheetId="18" r:id="rId18"/>
    <sheet name="BALANCE_DASHBOARD"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14" l="1"/>
  <c r="B20" i="14"/>
  <c r="C20" i="14" s="1"/>
  <c r="F20" i="14"/>
  <c r="G20" i="14"/>
  <c r="H20" i="14" s="1"/>
  <c r="I20" i="14"/>
  <c r="J20" i="14"/>
  <c r="A21" i="14"/>
  <c r="G21" i="14" s="1"/>
  <c r="B21" i="14"/>
  <c r="C21" i="14" s="1"/>
  <c r="A22" i="14"/>
  <c r="G22" i="14" s="1"/>
  <c r="B22" i="14"/>
  <c r="E22" i="14" s="1"/>
  <c r="D22" i="14"/>
  <c r="A23" i="14"/>
  <c r="G23" i="14" s="1"/>
  <c r="B23" i="14"/>
  <c r="C23" i="14"/>
  <c r="D23" i="14"/>
  <c r="E23" i="14"/>
  <c r="F23" i="14"/>
  <c r="A24" i="14"/>
  <c r="J24" i="14" s="1"/>
  <c r="B24" i="14"/>
  <c r="I24" i="14" s="1"/>
  <c r="F24" i="14"/>
  <c r="G24" i="14"/>
  <c r="H24" i="14"/>
  <c r="A25" i="14"/>
  <c r="B25" i="14"/>
  <c r="C25" i="14"/>
  <c r="D25" i="14"/>
  <c r="E25" i="14"/>
  <c r="F25" i="14"/>
  <c r="G25" i="14"/>
  <c r="H25" i="14"/>
  <c r="I25" i="14"/>
  <c r="J25" i="14"/>
  <c r="A26" i="14"/>
  <c r="B26" i="14"/>
  <c r="C26" i="14" s="1"/>
  <c r="E26" i="14"/>
  <c r="F26" i="14"/>
  <c r="G26" i="14"/>
  <c r="H26" i="14" s="1"/>
  <c r="I26" i="14"/>
  <c r="J26" i="14"/>
  <c r="A27" i="14"/>
  <c r="G27" i="14" s="1"/>
  <c r="B27" i="14"/>
  <c r="C27" i="14" s="1"/>
  <c r="A28" i="14"/>
  <c r="G28" i="14" s="1"/>
  <c r="B28" i="14"/>
  <c r="E28" i="14" s="1"/>
  <c r="D28" i="14"/>
  <c r="A29" i="14"/>
  <c r="G29" i="14" s="1"/>
  <c r="B29" i="14"/>
  <c r="C29" i="14"/>
  <c r="D29" i="14"/>
  <c r="E29" i="14"/>
  <c r="F29" i="14"/>
  <c r="A30" i="14"/>
  <c r="J30" i="14" s="1"/>
  <c r="B30" i="14"/>
  <c r="I30" i="14" s="1"/>
  <c r="E30" i="14"/>
  <c r="F30" i="14"/>
  <c r="G30" i="14"/>
  <c r="H30" i="14"/>
  <c r="A31" i="14"/>
  <c r="B31" i="14"/>
  <c r="C31" i="14"/>
  <c r="D31" i="14"/>
  <c r="E31" i="14"/>
  <c r="F31" i="14"/>
  <c r="G31" i="14"/>
  <c r="H31" i="14"/>
  <c r="I31" i="14"/>
  <c r="J31" i="14"/>
  <c r="A32" i="14"/>
  <c r="B32" i="14"/>
  <c r="C32" i="14" s="1"/>
  <c r="E32" i="14"/>
  <c r="F32" i="14"/>
  <c r="G32" i="14"/>
  <c r="H32" i="14" s="1"/>
  <c r="I32" i="14"/>
  <c r="J32" i="14"/>
  <c r="A33" i="14"/>
  <c r="G33" i="14" s="1"/>
  <c r="B33" i="14"/>
  <c r="C33" i="14" s="1"/>
  <c r="A34" i="14"/>
  <c r="G34" i="14" s="1"/>
  <c r="B34" i="14"/>
  <c r="E34" i="14" s="1"/>
  <c r="D34" i="14"/>
  <c r="A35" i="14"/>
  <c r="G35" i="14" s="1"/>
  <c r="B35" i="14"/>
  <c r="C35" i="14"/>
  <c r="D35" i="14"/>
  <c r="E35" i="14"/>
  <c r="F35" i="14"/>
  <c r="A36" i="14"/>
  <c r="J36" i="14" s="1"/>
  <c r="B36" i="14"/>
  <c r="I36" i="14" s="1"/>
  <c r="E36" i="14"/>
  <c r="F36" i="14"/>
  <c r="G36" i="14"/>
  <c r="H36" i="14"/>
  <c r="A37" i="14"/>
  <c r="B37" i="14"/>
  <c r="C37" i="14"/>
  <c r="D37" i="14"/>
  <c r="E37" i="14"/>
  <c r="F37" i="14"/>
  <c r="G37" i="14"/>
  <c r="H37" i="14"/>
  <c r="I37" i="14"/>
  <c r="J37" i="14"/>
  <c r="A38" i="14"/>
  <c r="B38" i="14"/>
  <c r="C38" i="14" s="1"/>
  <c r="E38" i="14"/>
  <c r="F38" i="14"/>
  <c r="G38" i="14"/>
  <c r="H38" i="14" s="1"/>
  <c r="I38" i="14"/>
  <c r="J38" i="14"/>
  <c r="A39" i="14"/>
  <c r="G39" i="14" s="1"/>
  <c r="B39" i="14"/>
  <c r="C39" i="14" s="1"/>
  <c r="A40" i="14"/>
  <c r="G40" i="14" s="1"/>
  <c r="B40" i="14"/>
  <c r="E40" i="14" s="1"/>
  <c r="D40" i="14"/>
  <c r="A41" i="14"/>
  <c r="G41" i="14" s="1"/>
  <c r="A42" i="14"/>
  <c r="J42" i="14" s="1"/>
  <c r="B42" i="14"/>
  <c r="I42" i="14" s="1"/>
  <c r="E42" i="14"/>
  <c r="F42" i="14"/>
  <c r="G42" i="14"/>
  <c r="H42" i="14"/>
  <c r="A43" i="14"/>
  <c r="B43" i="14"/>
  <c r="C43" i="14"/>
  <c r="D43" i="14"/>
  <c r="E43" i="14"/>
  <c r="F43" i="14"/>
  <c r="G43" i="14"/>
  <c r="H43" i="14"/>
  <c r="I43" i="14"/>
  <c r="J43" i="14"/>
  <c r="A44" i="14"/>
  <c r="B44" i="14"/>
  <c r="C44" i="14" s="1"/>
  <c r="E44" i="14"/>
  <c r="F44" i="14"/>
  <c r="G44" i="14"/>
  <c r="H44" i="14" s="1"/>
  <c r="I44" i="14"/>
  <c r="J44" i="14"/>
  <c r="A45" i="14"/>
  <c r="G45" i="14" s="1"/>
  <c r="B45" i="14"/>
  <c r="C45" i="14" s="1"/>
  <c r="A46" i="14"/>
  <c r="G46" i="14" s="1"/>
  <c r="B46" i="14"/>
  <c r="E46" i="14" s="1"/>
  <c r="D46" i="14"/>
  <c r="A47" i="14"/>
  <c r="G47" i="14" s="1"/>
  <c r="A48" i="14"/>
  <c r="J48" i="14" s="1"/>
  <c r="B48" i="14"/>
  <c r="I48" i="14" s="1"/>
  <c r="E48" i="14"/>
  <c r="F48" i="14"/>
  <c r="G48" i="14"/>
  <c r="H48" i="14"/>
  <c r="A49" i="14"/>
  <c r="B49" i="14"/>
  <c r="C49" i="14"/>
  <c r="D49" i="14"/>
  <c r="E49" i="14"/>
  <c r="F49" i="14"/>
  <c r="G49" i="14"/>
  <c r="H49" i="14"/>
  <c r="I49" i="14"/>
  <c r="J49" i="14"/>
  <c r="A50" i="14"/>
  <c r="B50" i="14"/>
  <c r="C50" i="14" s="1"/>
  <c r="E50" i="14"/>
  <c r="F50" i="14"/>
  <c r="G50" i="14"/>
  <c r="H50" i="14" s="1"/>
  <c r="I50" i="14"/>
  <c r="J50" i="14"/>
  <c r="A51" i="14"/>
  <c r="G51" i="14" s="1"/>
  <c r="B51" i="14"/>
  <c r="C51" i="14" s="1"/>
  <c r="A52" i="14"/>
  <c r="G52" i="14" s="1"/>
  <c r="B52" i="14"/>
  <c r="E52" i="14" s="1"/>
  <c r="D52" i="14"/>
  <c r="A53" i="14"/>
  <c r="G53" i="14" s="1"/>
  <c r="E8" i="19"/>
  <c r="D8" i="19"/>
  <c r="E7" i="19"/>
  <c r="D7" i="19"/>
  <c r="B7" i="19"/>
  <c r="E6" i="19"/>
  <c r="D6" i="19"/>
  <c r="B6" i="19"/>
  <c r="E5" i="19"/>
  <c r="D5" i="19"/>
  <c r="B5" i="19"/>
  <c r="E4" i="19"/>
  <c r="D4" i="19"/>
  <c r="B4" i="19"/>
  <c r="J58" i="18"/>
  <c r="H58" i="18"/>
  <c r="G58" i="18"/>
  <c r="F58" i="18"/>
  <c r="I58" i="18" s="1"/>
  <c r="K58" i="18" s="1"/>
  <c r="J57" i="18"/>
  <c r="H57" i="18"/>
  <c r="G57" i="18"/>
  <c r="F57" i="18"/>
  <c r="I57" i="18" s="1"/>
  <c r="K57" i="18" s="1"/>
  <c r="J56" i="18"/>
  <c r="H56" i="18"/>
  <c r="G56" i="18"/>
  <c r="F56" i="18"/>
  <c r="I56" i="18" s="1"/>
  <c r="K56" i="18" s="1"/>
  <c r="J55" i="18"/>
  <c r="H55" i="18"/>
  <c r="G55" i="18"/>
  <c r="F55" i="18"/>
  <c r="I55" i="18" s="1"/>
  <c r="K55" i="18" s="1"/>
  <c r="J54" i="18"/>
  <c r="H54" i="18"/>
  <c r="G54" i="18"/>
  <c r="F54" i="18"/>
  <c r="I54" i="18" s="1"/>
  <c r="K54" i="18" s="1"/>
  <c r="J53" i="18"/>
  <c r="H53" i="18"/>
  <c r="G53" i="18"/>
  <c r="F53" i="18"/>
  <c r="I53" i="18" s="1"/>
  <c r="K53" i="18" s="1"/>
  <c r="J52" i="18"/>
  <c r="H52" i="18"/>
  <c r="G52" i="18"/>
  <c r="F52" i="18"/>
  <c r="I52" i="18" s="1"/>
  <c r="K52" i="18" s="1"/>
  <c r="J51" i="18"/>
  <c r="H51" i="18"/>
  <c r="G51" i="18"/>
  <c r="F51" i="18"/>
  <c r="I51" i="18" s="1"/>
  <c r="K51" i="18" s="1"/>
  <c r="J50" i="18"/>
  <c r="H50" i="18"/>
  <c r="G50" i="18"/>
  <c r="F50" i="18"/>
  <c r="I50" i="18" s="1"/>
  <c r="K50" i="18" s="1"/>
  <c r="J49" i="18"/>
  <c r="H49" i="18"/>
  <c r="G49" i="18"/>
  <c r="F49" i="18"/>
  <c r="I49" i="18" s="1"/>
  <c r="K49" i="18" s="1"/>
  <c r="J48" i="18"/>
  <c r="H48" i="18"/>
  <c r="G48" i="18"/>
  <c r="F48" i="18"/>
  <c r="I48" i="18" s="1"/>
  <c r="J47" i="18"/>
  <c r="H47" i="18"/>
  <c r="G47" i="18"/>
  <c r="F47" i="18"/>
  <c r="I47" i="18" s="1"/>
  <c r="K47" i="18" s="1"/>
  <c r="J46" i="18"/>
  <c r="H46" i="18"/>
  <c r="G46" i="18"/>
  <c r="F46" i="18"/>
  <c r="I46" i="18" s="1"/>
  <c r="K46" i="18" s="1"/>
  <c r="J45" i="18"/>
  <c r="H45" i="18"/>
  <c r="G45" i="18"/>
  <c r="F45" i="18"/>
  <c r="I45" i="18" s="1"/>
  <c r="K45" i="18" s="1"/>
  <c r="J44" i="18"/>
  <c r="H44" i="18"/>
  <c r="G44" i="18"/>
  <c r="F44" i="18"/>
  <c r="I44" i="18" s="1"/>
  <c r="K44" i="18" s="1"/>
  <c r="J43" i="18"/>
  <c r="H43" i="18"/>
  <c r="G43" i="18"/>
  <c r="F43" i="18"/>
  <c r="I43" i="18" s="1"/>
  <c r="J42" i="18"/>
  <c r="H42" i="18"/>
  <c r="G42" i="18"/>
  <c r="F42" i="18"/>
  <c r="I42" i="18" s="1"/>
  <c r="J41" i="18"/>
  <c r="H41" i="18"/>
  <c r="G41" i="18"/>
  <c r="F41" i="18"/>
  <c r="I41" i="18" s="1"/>
  <c r="K41" i="18" s="1"/>
  <c r="J40" i="18"/>
  <c r="H40" i="18"/>
  <c r="G40" i="18"/>
  <c r="F40" i="18"/>
  <c r="I40" i="18" s="1"/>
  <c r="K40" i="18" s="1"/>
  <c r="J39" i="18"/>
  <c r="H39" i="18"/>
  <c r="G39" i="18"/>
  <c r="F39" i="18"/>
  <c r="I39" i="18" s="1"/>
  <c r="K39" i="18" s="1"/>
  <c r="J38" i="18"/>
  <c r="H38" i="18"/>
  <c r="G38" i="18"/>
  <c r="F38" i="18"/>
  <c r="I38" i="18" s="1"/>
  <c r="K38" i="18" s="1"/>
  <c r="J37" i="18"/>
  <c r="H37" i="18"/>
  <c r="G37" i="18"/>
  <c r="F37" i="18"/>
  <c r="I37" i="18" s="1"/>
  <c r="K37" i="18" s="1"/>
  <c r="J36" i="18"/>
  <c r="H36" i="18"/>
  <c r="G36" i="18"/>
  <c r="F36" i="18"/>
  <c r="I36" i="18" s="1"/>
  <c r="K36" i="18" s="1"/>
  <c r="J35" i="18"/>
  <c r="H35" i="18"/>
  <c r="G35" i="18"/>
  <c r="F35" i="18"/>
  <c r="I35" i="18" s="1"/>
  <c r="K35" i="18" s="1"/>
  <c r="J34" i="18"/>
  <c r="H34" i="18"/>
  <c r="G34" i="18"/>
  <c r="F34" i="18"/>
  <c r="I34" i="18" s="1"/>
  <c r="K34" i="18" s="1"/>
  <c r="J33" i="18"/>
  <c r="H33" i="18"/>
  <c r="G33" i="18"/>
  <c r="F33" i="18"/>
  <c r="I33" i="18" s="1"/>
  <c r="K33" i="18" s="1"/>
  <c r="J32" i="18"/>
  <c r="H32" i="18"/>
  <c r="G32" i="18"/>
  <c r="F32" i="18"/>
  <c r="I32" i="18" s="1"/>
  <c r="K32" i="18" s="1"/>
  <c r="J31" i="18"/>
  <c r="H31" i="18"/>
  <c r="G31" i="18"/>
  <c r="F31" i="18"/>
  <c r="I31" i="18" s="1"/>
  <c r="K31" i="18" s="1"/>
  <c r="J30" i="18"/>
  <c r="H30" i="18"/>
  <c r="G30" i="18"/>
  <c r="F30" i="18"/>
  <c r="I30" i="18" s="1"/>
  <c r="K30" i="18" s="1"/>
  <c r="J29" i="18"/>
  <c r="H29" i="18"/>
  <c r="G29" i="18"/>
  <c r="F29" i="18"/>
  <c r="I29" i="18" s="1"/>
  <c r="K29" i="18" s="1"/>
  <c r="J28" i="18"/>
  <c r="H28" i="18"/>
  <c r="G28" i="18"/>
  <c r="F28" i="18"/>
  <c r="I28" i="18" s="1"/>
  <c r="K28" i="18" s="1"/>
  <c r="J27" i="18"/>
  <c r="H27" i="18"/>
  <c r="G27" i="18"/>
  <c r="F27" i="18"/>
  <c r="I27" i="18" s="1"/>
  <c r="K27" i="18" s="1"/>
  <c r="J26" i="18"/>
  <c r="H26" i="18"/>
  <c r="G26" i="18"/>
  <c r="F26" i="18"/>
  <c r="I26" i="18" s="1"/>
  <c r="K26" i="18" s="1"/>
  <c r="J25" i="18"/>
  <c r="H25" i="18"/>
  <c r="G25" i="18"/>
  <c r="F25" i="18"/>
  <c r="I25" i="18" s="1"/>
  <c r="K25" i="18" s="1"/>
  <c r="J24" i="18"/>
  <c r="H24" i="18"/>
  <c r="G24" i="18"/>
  <c r="F24" i="18"/>
  <c r="I24" i="18" s="1"/>
  <c r="K24" i="18" s="1"/>
  <c r="J23" i="18"/>
  <c r="H23" i="18"/>
  <c r="G23" i="18"/>
  <c r="F23" i="18"/>
  <c r="I23" i="18" s="1"/>
  <c r="K23" i="18" s="1"/>
  <c r="J22" i="18"/>
  <c r="H22" i="18"/>
  <c r="G22" i="18"/>
  <c r="F22" i="18"/>
  <c r="I22" i="18" s="1"/>
  <c r="K22" i="18" s="1"/>
  <c r="J21" i="18"/>
  <c r="H21" i="18"/>
  <c r="G21" i="18"/>
  <c r="F21" i="18"/>
  <c r="I21" i="18" s="1"/>
  <c r="K21" i="18" s="1"/>
  <c r="J20" i="18"/>
  <c r="H20" i="18"/>
  <c r="G20" i="18"/>
  <c r="F20" i="18"/>
  <c r="I20" i="18" s="1"/>
  <c r="K20" i="18" s="1"/>
  <c r="J19" i="18"/>
  <c r="H19" i="18"/>
  <c r="G19" i="18"/>
  <c r="F19" i="18"/>
  <c r="I19" i="18" s="1"/>
  <c r="K19" i="18" s="1"/>
  <c r="J18" i="18"/>
  <c r="H18" i="18"/>
  <c r="G18" i="18"/>
  <c r="F18" i="18"/>
  <c r="I18" i="18" s="1"/>
  <c r="K18" i="18" s="1"/>
  <c r="J17" i="18"/>
  <c r="H17" i="18"/>
  <c r="G17" i="18"/>
  <c r="F17" i="18"/>
  <c r="I17" i="18" s="1"/>
  <c r="K17" i="18" s="1"/>
  <c r="J16" i="18"/>
  <c r="H16" i="18"/>
  <c r="G16" i="18"/>
  <c r="F16" i="18"/>
  <c r="I16" i="18" s="1"/>
  <c r="J15" i="18"/>
  <c r="H15" i="18"/>
  <c r="G15" i="18"/>
  <c r="F15" i="18"/>
  <c r="I15" i="18" s="1"/>
  <c r="K15" i="18" s="1"/>
  <c r="J14" i="18"/>
  <c r="H14" i="18"/>
  <c r="G14" i="18"/>
  <c r="F14" i="18"/>
  <c r="I14" i="18" s="1"/>
  <c r="K14" i="18" s="1"/>
  <c r="J13" i="18"/>
  <c r="H13" i="18"/>
  <c r="G13" i="18"/>
  <c r="F13" i="18"/>
  <c r="I13" i="18" s="1"/>
  <c r="K13" i="18" s="1"/>
  <c r="J12" i="18"/>
  <c r="H12" i="18"/>
  <c r="G12" i="18"/>
  <c r="F12" i="18"/>
  <c r="I12" i="18" s="1"/>
  <c r="K12" i="18" s="1"/>
  <c r="J11" i="18"/>
  <c r="H11" i="18"/>
  <c r="G11" i="18"/>
  <c r="F11" i="18"/>
  <c r="I11" i="18" s="1"/>
  <c r="K11" i="18" s="1"/>
  <c r="J10" i="18"/>
  <c r="H10" i="18"/>
  <c r="G10" i="18"/>
  <c r="F10" i="18"/>
  <c r="I10" i="18" s="1"/>
  <c r="K10" i="18" s="1"/>
  <c r="J9" i="18"/>
  <c r="H9" i="18"/>
  <c r="G9" i="18"/>
  <c r="F9" i="18"/>
  <c r="I9" i="18" s="1"/>
  <c r="J8" i="18"/>
  <c r="H8" i="18"/>
  <c r="G8" i="18"/>
  <c r="F8" i="18"/>
  <c r="I8" i="18" s="1"/>
  <c r="K8" i="18" s="1"/>
  <c r="J7" i="18"/>
  <c r="H7" i="18"/>
  <c r="G7" i="18"/>
  <c r="F7" i="18"/>
  <c r="I7" i="18" s="1"/>
  <c r="K7" i="18" s="1"/>
  <c r="J6" i="18"/>
  <c r="H6" i="18"/>
  <c r="G6" i="18"/>
  <c r="F6" i="18"/>
  <c r="I6" i="18" s="1"/>
  <c r="K6" i="18" s="1"/>
  <c r="J5" i="18"/>
  <c r="H5" i="18"/>
  <c r="G5" i="18"/>
  <c r="F5" i="18"/>
  <c r="I5" i="18" s="1"/>
  <c r="K5" i="18" s="1"/>
  <c r="J4" i="18"/>
  <c r="H4" i="18"/>
  <c r="G4" i="18"/>
  <c r="F4" i="18"/>
  <c r="I4" i="18" s="1"/>
  <c r="K4" i="18" s="1"/>
  <c r="N33" i="17"/>
  <c r="M33" i="17"/>
  <c r="K33" i="17"/>
  <c r="J33" i="17"/>
  <c r="H33" i="17"/>
  <c r="P33" i="17" s="1"/>
  <c r="G33" i="17"/>
  <c r="E33" i="17"/>
  <c r="O33" i="17" s="1"/>
  <c r="R33" i="17" s="1"/>
  <c r="S33" i="17" s="1"/>
  <c r="D33" i="17"/>
  <c r="N32" i="17"/>
  <c r="M32" i="17"/>
  <c r="K32" i="17"/>
  <c r="J32" i="17"/>
  <c r="H32" i="17"/>
  <c r="P32" i="17" s="1"/>
  <c r="G32" i="17"/>
  <c r="E32" i="17"/>
  <c r="D32" i="17"/>
  <c r="N31" i="17"/>
  <c r="M31" i="17"/>
  <c r="K31" i="17"/>
  <c r="P31" i="17" s="1"/>
  <c r="J31" i="17"/>
  <c r="H31" i="17"/>
  <c r="G31" i="17"/>
  <c r="E31" i="17"/>
  <c r="O31" i="17" s="1"/>
  <c r="R31" i="17" s="1"/>
  <c r="S31" i="17" s="1"/>
  <c r="D31" i="17"/>
  <c r="P30" i="17"/>
  <c r="N30" i="17"/>
  <c r="M30" i="17"/>
  <c r="K30" i="17"/>
  <c r="J30" i="17"/>
  <c r="H30" i="17"/>
  <c r="G30" i="17"/>
  <c r="E30" i="17"/>
  <c r="D30" i="17"/>
  <c r="N29" i="17"/>
  <c r="P29" i="17" s="1"/>
  <c r="M29" i="17"/>
  <c r="K29" i="17"/>
  <c r="J29" i="17"/>
  <c r="H29" i="17"/>
  <c r="G29" i="17"/>
  <c r="E29" i="17"/>
  <c r="O29" i="17" s="1"/>
  <c r="R29" i="17" s="1"/>
  <c r="S29" i="17" s="1"/>
  <c r="D29" i="17"/>
  <c r="N28" i="17"/>
  <c r="M28" i="17"/>
  <c r="K28" i="17"/>
  <c r="J28" i="17"/>
  <c r="H28" i="17"/>
  <c r="P28" i="17" s="1"/>
  <c r="G28" i="17"/>
  <c r="E28" i="17"/>
  <c r="O28" i="17" s="1"/>
  <c r="R28" i="17" s="1"/>
  <c r="S28" i="17" s="1"/>
  <c r="D28" i="17"/>
  <c r="P27" i="17"/>
  <c r="N27" i="17"/>
  <c r="M27" i="17"/>
  <c r="K27" i="17"/>
  <c r="J27" i="17"/>
  <c r="H27" i="17"/>
  <c r="G27" i="17"/>
  <c r="E27" i="17"/>
  <c r="O27" i="17" s="1"/>
  <c r="R27" i="17" s="1"/>
  <c r="S27" i="17" s="1"/>
  <c r="D27" i="17"/>
  <c r="N26" i="17"/>
  <c r="M26" i="17"/>
  <c r="K26" i="17"/>
  <c r="P26" i="17" s="1"/>
  <c r="J26" i="17"/>
  <c r="H26" i="17"/>
  <c r="G26" i="17"/>
  <c r="E26" i="17"/>
  <c r="O26" i="17" s="1"/>
  <c r="R26" i="17" s="1"/>
  <c r="S26" i="17" s="1"/>
  <c r="D26" i="17"/>
  <c r="N25" i="17"/>
  <c r="M25" i="17"/>
  <c r="K25" i="17"/>
  <c r="J25" i="17"/>
  <c r="H25" i="17"/>
  <c r="P25" i="17" s="1"/>
  <c r="G25" i="17"/>
  <c r="E25" i="17"/>
  <c r="O25" i="17" s="1"/>
  <c r="R25" i="17" s="1"/>
  <c r="S25" i="17" s="1"/>
  <c r="D25" i="17"/>
  <c r="N24" i="17"/>
  <c r="M24" i="17"/>
  <c r="K24" i="17"/>
  <c r="J24" i="17"/>
  <c r="H24" i="17"/>
  <c r="P24" i="17" s="1"/>
  <c r="G24" i="17"/>
  <c r="E24" i="17"/>
  <c r="D24" i="17"/>
  <c r="N23" i="17"/>
  <c r="M23" i="17"/>
  <c r="K23" i="17"/>
  <c r="J23" i="17"/>
  <c r="H23" i="17"/>
  <c r="P23" i="17" s="1"/>
  <c r="G23" i="17"/>
  <c r="E23" i="17"/>
  <c r="O23" i="17" s="1"/>
  <c r="R23" i="17" s="1"/>
  <c r="S23" i="17" s="1"/>
  <c r="D23" i="17"/>
  <c r="N22" i="17"/>
  <c r="M22" i="17"/>
  <c r="K22" i="17"/>
  <c r="P22" i="17" s="1"/>
  <c r="J22" i="17"/>
  <c r="H22" i="17"/>
  <c r="G22" i="17"/>
  <c r="E22" i="17"/>
  <c r="D22" i="17"/>
  <c r="N21" i="17"/>
  <c r="M21" i="17"/>
  <c r="K21" i="17"/>
  <c r="J21" i="17"/>
  <c r="H21" i="17"/>
  <c r="P21" i="17" s="1"/>
  <c r="G21" i="17"/>
  <c r="E21" i="17"/>
  <c r="O21" i="17" s="1"/>
  <c r="R21" i="17" s="1"/>
  <c r="S21" i="17" s="1"/>
  <c r="D21" i="17"/>
  <c r="N20" i="17"/>
  <c r="M20" i="17"/>
  <c r="K20" i="17"/>
  <c r="J20" i="17"/>
  <c r="H20" i="17"/>
  <c r="P20" i="17" s="1"/>
  <c r="G20" i="17"/>
  <c r="E20" i="17"/>
  <c r="D20" i="17"/>
  <c r="N19" i="17"/>
  <c r="M19" i="17"/>
  <c r="K19" i="17"/>
  <c r="P19" i="17" s="1"/>
  <c r="J19" i="17"/>
  <c r="H19" i="17"/>
  <c r="G19" i="17"/>
  <c r="E19" i="17"/>
  <c r="O19" i="17" s="1"/>
  <c r="R19" i="17" s="1"/>
  <c r="S19" i="17" s="1"/>
  <c r="D19" i="17"/>
  <c r="P18" i="17"/>
  <c r="N18" i="17"/>
  <c r="M18" i="17"/>
  <c r="K18" i="17"/>
  <c r="J18" i="17"/>
  <c r="H18" i="17"/>
  <c r="G18" i="17"/>
  <c r="E18" i="17"/>
  <c r="D18" i="17"/>
  <c r="N17" i="17"/>
  <c r="P17" i="17" s="1"/>
  <c r="M17" i="17"/>
  <c r="K17" i="17"/>
  <c r="J17" i="17"/>
  <c r="H17" i="17"/>
  <c r="G17" i="17"/>
  <c r="E17" i="17"/>
  <c r="O17" i="17" s="1"/>
  <c r="R17" i="17" s="1"/>
  <c r="S17" i="17" s="1"/>
  <c r="D17" i="17"/>
  <c r="N16" i="17"/>
  <c r="M16" i="17"/>
  <c r="K16" i="17"/>
  <c r="J16" i="17"/>
  <c r="H16" i="17"/>
  <c r="P16" i="17" s="1"/>
  <c r="G16" i="17"/>
  <c r="E16" i="17"/>
  <c r="O16" i="17" s="1"/>
  <c r="R16" i="17" s="1"/>
  <c r="S16" i="17" s="1"/>
  <c r="D16" i="17"/>
  <c r="P15" i="17"/>
  <c r="N15" i="17"/>
  <c r="M15" i="17"/>
  <c r="K15" i="17"/>
  <c r="J15" i="17"/>
  <c r="H15" i="17"/>
  <c r="G15" i="17"/>
  <c r="E15" i="17"/>
  <c r="O15" i="17" s="1"/>
  <c r="R15" i="17" s="1"/>
  <c r="S15" i="17" s="1"/>
  <c r="D15" i="17"/>
  <c r="N14" i="17"/>
  <c r="M14" i="17"/>
  <c r="K14" i="17"/>
  <c r="P14" i="17" s="1"/>
  <c r="J14" i="17"/>
  <c r="H14" i="17"/>
  <c r="G14" i="17"/>
  <c r="E14" i="17"/>
  <c r="O14" i="17" s="1"/>
  <c r="R14" i="17" s="1"/>
  <c r="S14" i="17" s="1"/>
  <c r="D14" i="17"/>
  <c r="N13" i="17"/>
  <c r="M13" i="17"/>
  <c r="K13" i="17"/>
  <c r="J13" i="17"/>
  <c r="H13" i="17"/>
  <c r="P13" i="17" s="1"/>
  <c r="G13" i="17"/>
  <c r="E13" i="17"/>
  <c r="O13" i="17" s="1"/>
  <c r="R13" i="17" s="1"/>
  <c r="S13" i="17" s="1"/>
  <c r="D13" i="17"/>
  <c r="N12" i="17"/>
  <c r="M12" i="17"/>
  <c r="K12" i="17"/>
  <c r="J12" i="17"/>
  <c r="H12" i="17"/>
  <c r="P12" i="17" s="1"/>
  <c r="G12" i="17"/>
  <c r="E12" i="17"/>
  <c r="D12" i="17"/>
  <c r="N11" i="17"/>
  <c r="M11" i="17"/>
  <c r="K11" i="17"/>
  <c r="J11" i="17"/>
  <c r="H11" i="17"/>
  <c r="P11" i="17" s="1"/>
  <c r="G11" i="17"/>
  <c r="E11" i="17"/>
  <c r="O11" i="17" s="1"/>
  <c r="R11" i="17" s="1"/>
  <c r="S11" i="17" s="1"/>
  <c r="D11" i="17"/>
  <c r="N10" i="17"/>
  <c r="M10" i="17"/>
  <c r="K10" i="17"/>
  <c r="P10" i="17" s="1"/>
  <c r="J10" i="17"/>
  <c r="H10" i="17"/>
  <c r="G10" i="17"/>
  <c r="E10" i="17"/>
  <c r="D10" i="17"/>
  <c r="N9" i="17"/>
  <c r="M9" i="17"/>
  <c r="K9" i="17"/>
  <c r="J9" i="17"/>
  <c r="H9" i="17"/>
  <c r="P9" i="17" s="1"/>
  <c r="G9" i="17"/>
  <c r="E9" i="17"/>
  <c r="O9" i="17" s="1"/>
  <c r="R9" i="17" s="1"/>
  <c r="S9" i="17" s="1"/>
  <c r="D9" i="17"/>
  <c r="D8" i="17"/>
  <c r="D7" i="17"/>
  <c r="D6" i="17"/>
  <c r="D5" i="17"/>
  <c r="D4" i="17"/>
  <c r="I70" i="16"/>
  <c r="G70" i="16"/>
  <c r="F70" i="16"/>
  <c r="E70" i="16"/>
  <c r="H70" i="16" s="1"/>
  <c r="G69" i="16"/>
  <c r="F69" i="16"/>
  <c r="E69" i="16"/>
  <c r="I69" i="16" s="1"/>
  <c r="G68" i="16"/>
  <c r="F68" i="16"/>
  <c r="E68" i="16"/>
  <c r="I68" i="16" s="1"/>
  <c r="G67" i="16"/>
  <c r="F67" i="16"/>
  <c r="E67" i="16"/>
  <c r="I67" i="16" s="1"/>
  <c r="G66" i="16"/>
  <c r="F66" i="16"/>
  <c r="E66" i="16"/>
  <c r="I66" i="16" s="1"/>
  <c r="H65" i="16"/>
  <c r="G65" i="16"/>
  <c r="F65" i="16"/>
  <c r="E65" i="16"/>
  <c r="I65" i="16" s="1"/>
  <c r="H64" i="16"/>
  <c r="G64" i="16"/>
  <c r="F64" i="16"/>
  <c r="H7" i="17" s="1"/>
  <c r="E64" i="16"/>
  <c r="G7" i="17" s="1"/>
  <c r="H63" i="16"/>
  <c r="G63" i="16"/>
  <c r="F63" i="16"/>
  <c r="E63" i="16"/>
  <c r="I63" i="16" s="1"/>
  <c r="G62" i="16"/>
  <c r="F62" i="16"/>
  <c r="E62" i="16"/>
  <c r="I62" i="16" s="1"/>
  <c r="I61" i="16"/>
  <c r="G61" i="16"/>
  <c r="F61" i="16"/>
  <c r="N5" i="17" s="1"/>
  <c r="E61" i="16"/>
  <c r="M5" i="17" s="1"/>
  <c r="I60" i="16"/>
  <c r="H60" i="16"/>
  <c r="G60" i="16"/>
  <c r="F60" i="16"/>
  <c r="E60" i="16"/>
  <c r="I59" i="16"/>
  <c r="H59" i="16"/>
  <c r="G59" i="16"/>
  <c r="F59" i="16"/>
  <c r="E59" i="16"/>
  <c r="I58" i="16"/>
  <c r="G58" i="16"/>
  <c r="F58" i="16"/>
  <c r="E58" i="16"/>
  <c r="H58" i="16" s="1"/>
  <c r="G57" i="16"/>
  <c r="F57" i="16"/>
  <c r="K5" i="17" s="1"/>
  <c r="E57" i="16"/>
  <c r="I57" i="16" s="1"/>
  <c r="G56" i="16"/>
  <c r="F56" i="16"/>
  <c r="E56" i="16"/>
  <c r="I56" i="16" s="1"/>
  <c r="G55" i="16"/>
  <c r="F55" i="16"/>
  <c r="E55" i="16"/>
  <c r="I55" i="16" s="1"/>
  <c r="G54" i="16"/>
  <c r="F54" i="16"/>
  <c r="E54" i="16"/>
  <c r="I54" i="16" s="1"/>
  <c r="I53" i="16"/>
  <c r="H53" i="16"/>
  <c r="G53" i="16"/>
  <c r="F53" i="16"/>
  <c r="E53" i="16"/>
  <c r="G52" i="16"/>
  <c r="F52" i="16"/>
  <c r="E52" i="16"/>
  <c r="I52" i="16" s="1"/>
  <c r="H51" i="16"/>
  <c r="G51" i="16"/>
  <c r="F51" i="16"/>
  <c r="E51" i="16"/>
  <c r="I51" i="16" s="1"/>
  <c r="G50" i="16"/>
  <c r="F50" i="16"/>
  <c r="E50" i="16"/>
  <c r="I50" i="16" s="1"/>
  <c r="G49" i="16"/>
  <c r="F49" i="16"/>
  <c r="H5" i="17" s="1"/>
  <c r="P5" i="17" s="1"/>
  <c r="E49" i="16"/>
  <c r="G5" i="17" s="1"/>
  <c r="I48" i="16"/>
  <c r="H48" i="16"/>
  <c r="G48" i="16"/>
  <c r="F48" i="16"/>
  <c r="E48" i="16"/>
  <c r="G47" i="16"/>
  <c r="F47" i="16"/>
  <c r="E47" i="16"/>
  <c r="I47" i="16" s="1"/>
  <c r="I46" i="16"/>
  <c r="G46" i="16"/>
  <c r="F46" i="16"/>
  <c r="N6" i="17" s="1"/>
  <c r="E46" i="16"/>
  <c r="M6" i="17" s="1"/>
  <c r="G45" i="16"/>
  <c r="F45" i="16"/>
  <c r="E45" i="16"/>
  <c r="I45" i="16" s="1"/>
  <c r="G44" i="16"/>
  <c r="F44" i="16"/>
  <c r="E44" i="16"/>
  <c r="I44" i="16" s="1"/>
  <c r="I43" i="16"/>
  <c r="G43" i="16"/>
  <c r="F43" i="16"/>
  <c r="E43" i="16"/>
  <c r="H43" i="16" s="1"/>
  <c r="G42" i="16"/>
  <c r="F42" i="16"/>
  <c r="E42" i="16"/>
  <c r="I41" i="16"/>
  <c r="H41" i="16"/>
  <c r="G41" i="16"/>
  <c r="F41" i="16"/>
  <c r="E41" i="16"/>
  <c r="G40" i="16"/>
  <c r="F40" i="16"/>
  <c r="E40" i="16"/>
  <c r="I40" i="16" s="1"/>
  <c r="H39" i="16"/>
  <c r="G39" i="16"/>
  <c r="F39" i="16"/>
  <c r="E39" i="16"/>
  <c r="I39" i="16" s="1"/>
  <c r="G38" i="16"/>
  <c r="F38" i="16"/>
  <c r="E38" i="16"/>
  <c r="I38" i="16" s="1"/>
  <c r="G37" i="16"/>
  <c r="F37" i="16"/>
  <c r="E37" i="16"/>
  <c r="I37" i="16" s="1"/>
  <c r="I36" i="16"/>
  <c r="H36" i="16"/>
  <c r="G36" i="16"/>
  <c r="F36" i="16"/>
  <c r="E36" i="16"/>
  <c r="G35" i="16"/>
  <c r="F35" i="16"/>
  <c r="E35" i="16"/>
  <c r="I35" i="16" s="1"/>
  <c r="I34" i="16"/>
  <c r="G34" i="16"/>
  <c r="F34" i="16"/>
  <c r="E34" i="16"/>
  <c r="H34" i="16" s="1"/>
  <c r="G33" i="16"/>
  <c r="F33" i="16"/>
  <c r="E33" i="16"/>
  <c r="I33" i="16" s="1"/>
  <c r="G32" i="16"/>
  <c r="F32" i="16"/>
  <c r="E32" i="16"/>
  <c r="I32" i="16" s="1"/>
  <c r="I31" i="16"/>
  <c r="H31" i="16"/>
  <c r="G31" i="16"/>
  <c r="F31" i="16"/>
  <c r="E31" i="16"/>
  <c r="G30" i="16"/>
  <c r="F30" i="16"/>
  <c r="E30" i="16"/>
  <c r="I29" i="16"/>
  <c r="H29" i="16"/>
  <c r="G29" i="16"/>
  <c r="F29" i="16"/>
  <c r="E29" i="16"/>
  <c r="G28" i="16"/>
  <c r="F28" i="16"/>
  <c r="E28" i="16"/>
  <c r="I28" i="16" s="1"/>
  <c r="H27" i="16"/>
  <c r="G27" i="16"/>
  <c r="F27" i="16"/>
  <c r="E27" i="16"/>
  <c r="I27" i="16" s="1"/>
  <c r="I26" i="16"/>
  <c r="G26" i="16"/>
  <c r="F26" i="16"/>
  <c r="E26" i="16"/>
  <c r="H26" i="16" s="1"/>
  <c r="G25" i="16"/>
  <c r="F25" i="16"/>
  <c r="E25" i="16"/>
  <c r="I25" i="16" s="1"/>
  <c r="H24" i="16"/>
  <c r="G24" i="16"/>
  <c r="F24" i="16"/>
  <c r="E24" i="16"/>
  <c r="I24" i="16" s="1"/>
  <c r="G23" i="16"/>
  <c r="F23" i="16"/>
  <c r="E23" i="16"/>
  <c r="I23" i="16" s="1"/>
  <c r="I22" i="16"/>
  <c r="G22" i="16"/>
  <c r="F22" i="16"/>
  <c r="E22" i="16"/>
  <c r="H22" i="16" s="1"/>
  <c r="G21" i="16"/>
  <c r="F21" i="16"/>
  <c r="E21" i="16"/>
  <c r="I21" i="16" s="1"/>
  <c r="G20" i="16"/>
  <c r="F20" i="16"/>
  <c r="E20" i="16"/>
  <c r="I20" i="16" s="1"/>
  <c r="I19" i="16"/>
  <c r="H19" i="16"/>
  <c r="G19" i="16"/>
  <c r="F19" i="16"/>
  <c r="E19" i="16"/>
  <c r="G18" i="16"/>
  <c r="F18" i="16"/>
  <c r="E18" i="16"/>
  <c r="I17" i="16"/>
  <c r="H17" i="16"/>
  <c r="G17" i="16"/>
  <c r="F17" i="16"/>
  <c r="N8" i="17" s="1"/>
  <c r="E17" i="16"/>
  <c r="M8" i="17" s="1"/>
  <c r="G16" i="16"/>
  <c r="F16" i="16"/>
  <c r="H6" i="17" s="1"/>
  <c r="P6" i="17" s="1"/>
  <c r="E16" i="16"/>
  <c r="G15" i="16"/>
  <c r="F15" i="16"/>
  <c r="K7" i="17" s="1"/>
  <c r="E15" i="16"/>
  <c r="I14" i="16"/>
  <c r="H14" i="16"/>
  <c r="G14" i="16"/>
  <c r="F14" i="16"/>
  <c r="E14" i="16"/>
  <c r="H13" i="16"/>
  <c r="G13" i="16"/>
  <c r="F13" i="16"/>
  <c r="E13" i="16"/>
  <c r="I13" i="16" s="1"/>
  <c r="I12" i="16"/>
  <c r="H12" i="16"/>
  <c r="G12" i="16"/>
  <c r="F12" i="16"/>
  <c r="K4" i="17" s="1"/>
  <c r="E12" i="16"/>
  <c r="J8" i="17" s="1"/>
  <c r="G11" i="16"/>
  <c r="F11" i="16"/>
  <c r="E11" i="16"/>
  <c r="H10" i="16"/>
  <c r="G10" i="16"/>
  <c r="F10" i="16"/>
  <c r="E10" i="16"/>
  <c r="I10" i="16" s="1"/>
  <c r="G9" i="16"/>
  <c r="F9" i="16"/>
  <c r="K6" i="17" s="1"/>
  <c r="E9" i="16"/>
  <c r="G8" i="16"/>
  <c r="F8" i="16"/>
  <c r="E8" i="16"/>
  <c r="I8" i="16" s="1"/>
  <c r="G7" i="16"/>
  <c r="F7" i="16"/>
  <c r="E7" i="16"/>
  <c r="I7" i="16" s="1"/>
  <c r="G6" i="16"/>
  <c r="F6" i="16"/>
  <c r="H4" i="17" s="1"/>
  <c r="E6" i="16"/>
  <c r="H5" i="16"/>
  <c r="G5" i="16"/>
  <c r="F5" i="16"/>
  <c r="E5" i="16"/>
  <c r="I5" i="16" s="1"/>
  <c r="I4" i="16"/>
  <c r="G4" i="16"/>
  <c r="F4" i="16"/>
  <c r="E4" i="16"/>
  <c r="I18" i="15"/>
  <c r="J18" i="15" s="1"/>
  <c r="K18" i="15" s="1"/>
  <c r="I17" i="15"/>
  <c r="J17" i="15" s="1"/>
  <c r="K17" i="15" s="1"/>
  <c r="N17" i="15" s="1"/>
  <c r="I16" i="15"/>
  <c r="J16" i="15" s="1"/>
  <c r="K16" i="15" s="1"/>
  <c r="I15" i="15"/>
  <c r="J15" i="15" s="1"/>
  <c r="K15" i="15" s="1"/>
  <c r="I14" i="15"/>
  <c r="J14" i="15" s="1"/>
  <c r="K14" i="15" s="1"/>
  <c r="I13" i="15"/>
  <c r="J13" i="15" s="1"/>
  <c r="K13" i="15" s="1"/>
  <c r="L13" i="15" s="1"/>
  <c r="I12" i="15"/>
  <c r="J12" i="15" s="1"/>
  <c r="K12" i="15" s="1"/>
  <c r="I11" i="15"/>
  <c r="J11" i="15" s="1"/>
  <c r="K11" i="15" s="1"/>
  <c r="I10" i="15"/>
  <c r="J10" i="15" s="1"/>
  <c r="K10" i="15" s="1"/>
  <c r="I9" i="15"/>
  <c r="J9" i="15" s="1"/>
  <c r="K9" i="15" s="1"/>
  <c r="I8" i="15"/>
  <c r="J8" i="15" s="1"/>
  <c r="K8" i="15" s="1"/>
  <c r="I7" i="15"/>
  <c r="J7" i="15" s="1"/>
  <c r="K7" i="15" s="1"/>
  <c r="L7" i="15" s="1"/>
  <c r="I6" i="15"/>
  <c r="J6" i="15" s="1"/>
  <c r="K6" i="15" s="1"/>
  <c r="I5" i="15"/>
  <c r="J5" i="15" s="1"/>
  <c r="K5" i="15" s="1"/>
  <c r="I4" i="15"/>
  <c r="J4" i="15" s="1"/>
  <c r="K4" i="15" s="1"/>
  <c r="A19" i="14"/>
  <c r="B19" i="14" s="1"/>
  <c r="A18" i="14"/>
  <c r="B18" i="14" s="1"/>
  <c r="I18" i="14" s="1"/>
  <c r="A17" i="14"/>
  <c r="G17" i="14" s="1"/>
  <c r="A16" i="14"/>
  <c r="J16" i="14" s="1"/>
  <c r="A15" i="14"/>
  <c r="G15" i="14" s="1"/>
  <c r="A14" i="14"/>
  <c r="J14" i="14" s="1"/>
  <c r="A13" i="14"/>
  <c r="B13" i="14" s="1"/>
  <c r="A12" i="14"/>
  <c r="J12" i="14" s="1"/>
  <c r="A11" i="14"/>
  <c r="G11" i="14" s="1"/>
  <c r="A10" i="14"/>
  <c r="B10" i="14" s="1"/>
  <c r="A9" i="14"/>
  <c r="B9" i="14" s="1"/>
  <c r="B8" i="14"/>
  <c r="F8" i="14" s="1"/>
  <c r="A8" i="14"/>
  <c r="J8" i="14" s="1"/>
  <c r="A7" i="14"/>
  <c r="J7" i="14" s="1"/>
  <c r="A6" i="14"/>
  <c r="G6" i="14" s="1"/>
  <c r="J5" i="14"/>
  <c r="A5" i="14"/>
  <c r="G5" i="14" s="1"/>
  <c r="A4" i="14"/>
  <c r="G4" i="14" s="1"/>
  <c r="H29" i="14" l="1"/>
  <c r="H35" i="14"/>
  <c r="H23" i="14"/>
  <c r="C52" i="14"/>
  <c r="C46" i="14"/>
  <c r="C40" i="14"/>
  <c r="C34" i="14"/>
  <c r="C28" i="14"/>
  <c r="C22" i="14"/>
  <c r="E24" i="14"/>
  <c r="B12" i="14"/>
  <c r="I12" i="14" s="1"/>
  <c r="B53" i="14"/>
  <c r="J51" i="14"/>
  <c r="D48" i="14"/>
  <c r="B47" i="14"/>
  <c r="J45" i="14"/>
  <c r="D42" i="14"/>
  <c r="B41" i="14"/>
  <c r="J39" i="14"/>
  <c r="D36" i="14"/>
  <c r="J33" i="14"/>
  <c r="D30" i="14"/>
  <c r="J27" i="14"/>
  <c r="D24" i="14"/>
  <c r="J21" i="14"/>
  <c r="G12" i="14"/>
  <c r="I51" i="14"/>
  <c r="C48" i="14"/>
  <c r="I45" i="14"/>
  <c r="C42" i="14"/>
  <c r="I39" i="14"/>
  <c r="C36" i="14"/>
  <c r="I33" i="14"/>
  <c r="C30" i="14"/>
  <c r="I27" i="14"/>
  <c r="C24" i="14"/>
  <c r="I21" i="14"/>
  <c r="G10" i="14"/>
  <c r="J52" i="14"/>
  <c r="H51" i="14"/>
  <c r="J46" i="14"/>
  <c r="H45" i="14"/>
  <c r="J40" i="14"/>
  <c r="H39" i="14"/>
  <c r="J34" i="14"/>
  <c r="H33" i="14"/>
  <c r="J28" i="14"/>
  <c r="H27" i="14"/>
  <c r="J22" i="14"/>
  <c r="H21" i="14"/>
  <c r="J6" i="14"/>
  <c r="I52" i="14"/>
  <c r="I46" i="14"/>
  <c r="I40" i="14"/>
  <c r="I34" i="14"/>
  <c r="I28" i="14"/>
  <c r="I22" i="14"/>
  <c r="E20" i="14"/>
  <c r="G13" i="14"/>
  <c r="J53" i="14"/>
  <c r="H52" i="14"/>
  <c r="F51" i="14"/>
  <c r="D50" i="14"/>
  <c r="J47" i="14"/>
  <c r="H46" i="14"/>
  <c r="F45" i="14"/>
  <c r="D44" i="14"/>
  <c r="J41" i="14"/>
  <c r="H40" i="14"/>
  <c r="F39" i="14"/>
  <c r="D38" i="14"/>
  <c r="J35" i="14"/>
  <c r="H34" i="14"/>
  <c r="F33" i="14"/>
  <c r="D32" i="14"/>
  <c r="J29" i="14"/>
  <c r="H28" i="14"/>
  <c r="F27" i="14"/>
  <c r="D26" i="14"/>
  <c r="J23" i="14"/>
  <c r="H22" i="14"/>
  <c r="F21" i="14"/>
  <c r="D20" i="14"/>
  <c r="E51" i="14"/>
  <c r="E45" i="14"/>
  <c r="E39" i="14"/>
  <c r="I35" i="14"/>
  <c r="E33" i="14"/>
  <c r="I29" i="14"/>
  <c r="E27" i="14"/>
  <c r="I23" i="14"/>
  <c r="E21" i="14"/>
  <c r="F52" i="14"/>
  <c r="D51" i="14"/>
  <c r="F46" i="14"/>
  <c r="D45" i="14"/>
  <c r="F40" i="14"/>
  <c r="D39" i="14"/>
  <c r="F34" i="14"/>
  <c r="D33" i="14"/>
  <c r="F28" i="14"/>
  <c r="D27" i="14"/>
  <c r="F22" i="14"/>
  <c r="D21" i="14"/>
  <c r="B4" i="14"/>
  <c r="H4" i="14" s="1"/>
  <c r="G8" i="14"/>
  <c r="H8" i="14" s="1"/>
  <c r="G18" i="14"/>
  <c r="H18" i="14" s="1"/>
  <c r="J18" i="14"/>
  <c r="J4" i="14"/>
  <c r="G9" i="14"/>
  <c r="B14" i="14"/>
  <c r="D14" i="14" s="1"/>
  <c r="G19" i="14"/>
  <c r="J9" i="14"/>
  <c r="G14" i="14"/>
  <c r="J19" i="14"/>
  <c r="O32" i="17"/>
  <c r="R32" i="17" s="1"/>
  <c r="S32" i="17" s="1"/>
  <c r="B6" i="14"/>
  <c r="I6" i="14" s="1"/>
  <c r="J10" i="14"/>
  <c r="J15" i="14"/>
  <c r="O30" i="17"/>
  <c r="R30" i="17" s="1"/>
  <c r="S30" i="17" s="1"/>
  <c r="O20" i="17"/>
  <c r="R20" i="17" s="1"/>
  <c r="S20" i="17" s="1"/>
  <c r="D8" i="14"/>
  <c r="E8" i="14"/>
  <c r="O10" i="17"/>
  <c r="R10" i="17" s="1"/>
  <c r="S10" i="17" s="1"/>
  <c r="N9" i="15"/>
  <c r="L9" i="15"/>
  <c r="O12" i="17"/>
  <c r="R12" i="17" s="1"/>
  <c r="S12" i="17" s="1"/>
  <c r="I8" i="14"/>
  <c r="O22" i="17"/>
  <c r="R22" i="17" s="1"/>
  <c r="S22" i="17" s="1"/>
  <c r="D18" i="14"/>
  <c r="N13" i="15"/>
  <c r="O24" i="17"/>
  <c r="R24" i="17" s="1"/>
  <c r="S24" i="17" s="1"/>
  <c r="F18" i="14"/>
  <c r="F14" i="14"/>
  <c r="O18" i="17"/>
  <c r="R18" i="17" s="1"/>
  <c r="S18" i="17" s="1"/>
  <c r="D4" i="14"/>
  <c r="C8" i="14"/>
  <c r="N18" i="15"/>
  <c r="L18" i="15"/>
  <c r="N4" i="15"/>
  <c r="L4" i="15"/>
  <c r="N12" i="15"/>
  <c r="L12" i="15"/>
  <c r="N5" i="15"/>
  <c r="L5" i="15"/>
  <c r="N6" i="15"/>
  <c r="L6" i="15"/>
  <c r="L11" i="15"/>
  <c r="M11" i="15"/>
  <c r="N11" i="15"/>
  <c r="N10" i="15"/>
  <c r="L10" i="15"/>
  <c r="N14" i="15"/>
  <c r="L14" i="15"/>
  <c r="Q26" i="17"/>
  <c r="Q14" i="17"/>
  <c r="Q25" i="17"/>
  <c r="Q13" i="17"/>
  <c r="Q24" i="17"/>
  <c r="Q12" i="17"/>
  <c r="M57" i="18"/>
  <c r="M54" i="18"/>
  <c r="M51" i="18"/>
  <c r="M48" i="18"/>
  <c r="M45" i="18"/>
  <c r="M42" i="18"/>
  <c r="M39" i="18"/>
  <c r="M36" i="18"/>
  <c r="M33" i="18"/>
  <c r="M30" i="18"/>
  <c r="M27" i="18"/>
  <c r="M24" i="18"/>
  <c r="M21" i="18"/>
  <c r="M18" i="18"/>
  <c r="M15" i="18"/>
  <c r="M12" i="18"/>
  <c r="M9" i="18"/>
  <c r="M6" i="18"/>
  <c r="Q23" i="17"/>
  <c r="Q11" i="17"/>
  <c r="Q22" i="17"/>
  <c r="Q10" i="17"/>
  <c r="Q33" i="17"/>
  <c r="Q21" i="17"/>
  <c r="Q9" i="17"/>
  <c r="B8" i="19"/>
  <c r="Q32" i="17"/>
  <c r="Q20" i="17"/>
  <c r="Q8" i="17"/>
  <c r="M58" i="18"/>
  <c r="M55" i="18"/>
  <c r="M52" i="18"/>
  <c r="M49" i="18"/>
  <c r="M46" i="18"/>
  <c r="M43" i="18"/>
  <c r="M40" i="18"/>
  <c r="M37" i="18"/>
  <c r="M34" i="18"/>
  <c r="M31" i="18"/>
  <c r="M28" i="18"/>
  <c r="M25" i="18"/>
  <c r="M22" i="18"/>
  <c r="M19" i="18"/>
  <c r="M16" i="18"/>
  <c r="M13" i="18"/>
  <c r="M10" i="18"/>
  <c r="M7" i="18"/>
  <c r="M4" i="18"/>
  <c r="Q31" i="17"/>
  <c r="Q19" i="17"/>
  <c r="Q7" i="17"/>
  <c r="Q30" i="17"/>
  <c r="Q18" i="17"/>
  <c r="Q6" i="17"/>
  <c r="Q29" i="17"/>
  <c r="Q17" i="17"/>
  <c r="Q5" i="17"/>
  <c r="Q28" i="17"/>
  <c r="Q16" i="17"/>
  <c r="Q4" i="17"/>
  <c r="M56" i="18"/>
  <c r="M53" i="18"/>
  <c r="M50" i="18"/>
  <c r="M47" i="18"/>
  <c r="M44" i="18"/>
  <c r="M41" i="18"/>
  <c r="M38" i="18"/>
  <c r="M35" i="18"/>
  <c r="M32" i="18"/>
  <c r="M29" i="18"/>
  <c r="M26" i="18"/>
  <c r="M23" i="18"/>
  <c r="M20" i="18"/>
  <c r="M17" i="18"/>
  <c r="M14" i="18"/>
  <c r="M11" i="18"/>
  <c r="M8" i="18"/>
  <c r="M5" i="18"/>
  <c r="Q27" i="17"/>
  <c r="Q15" i="17"/>
  <c r="D13" i="14"/>
  <c r="C13" i="14"/>
  <c r="E13" i="14"/>
  <c r="I13" i="14"/>
  <c r="H13" i="14"/>
  <c r="F13" i="14"/>
  <c r="E10" i="14"/>
  <c r="I10" i="14"/>
  <c r="H10" i="14"/>
  <c r="F10" i="14"/>
  <c r="D10" i="14"/>
  <c r="C10" i="14"/>
  <c r="N8" i="15"/>
  <c r="L8" i="15"/>
  <c r="N15" i="15"/>
  <c r="L15" i="15"/>
  <c r="N16" i="15"/>
  <c r="L16" i="15"/>
  <c r="C9" i="14"/>
  <c r="E9" i="14"/>
  <c r="F9" i="14"/>
  <c r="D9" i="14"/>
  <c r="H9" i="14"/>
  <c r="I9" i="14"/>
  <c r="H19" i="14"/>
  <c r="I19" i="14"/>
  <c r="F19" i="14"/>
  <c r="E19" i="14"/>
  <c r="D19" i="14"/>
  <c r="C19" i="14"/>
  <c r="B11" i="14"/>
  <c r="E12" i="14"/>
  <c r="I11" i="16"/>
  <c r="H11" i="16"/>
  <c r="E8" i="17"/>
  <c r="K9" i="18"/>
  <c r="K42" i="18"/>
  <c r="E6" i="17"/>
  <c r="O6" i="17" s="1"/>
  <c r="K48" i="18"/>
  <c r="E4" i="17"/>
  <c r="O4" i="17" s="1"/>
  <c r="N7" i="15"/>
  <c r="M18" i="15"/>
  <c r="I6" i="16"/>
  <c r="G4" i="17"/>
  <c r="H8" i="16"/>
  <c r="I30" i="16"/>
  <c r="H30" i="16"/>
  <c r="M9" i="15"/>
  <c r="F12" i="14"/>
  <c r="M16" i="15"/>
  <c r="P4" i="17"/>
  <c r="J13" i="14"/>
  <c r="G7" i="14"/>
  <c r="G8" i="17"/>
  <c r="M4" i="17"/>
  <c r="J6" i="17"/>
  <c r="I9" i="16"/>
  <c r="B7" i="14"/>
  <c r="B16" i="14"/>
  <c r="B15" i="14"/>
  <c r="H12" i="14"/>
  <c r="G16" i="14"/>
  <c r="J17" i="14"/>
  <c r="B5" i="14"/>
  <c r="M12" i="15"/>
  <c r="H8" i="17"/>
  <c r="N4" i="17"/>
  <c r="H6" i="16"/>
  <c r="E7" i="17"/>
  <c r="K16" i="18"/>
  <c r="E5" i="17"/>
  <c r="K43" i="18"/>
  <c r="I18" i="16"/>
  <c r="H18" i="16"/>
  <c r="I4" i="14"/>
  <c r="M10" i="15"/>
  <c r="J7" i="17"/>
  <c r="I15" i="16"/>
  <c r="C18" i="14"/>
  <c r="L17" i="15"/>
  <c r="H4" i="16"/>
  <c r="H9" i="16"/>
  <c r="C12" i="14"/>
  <c r="L56" i="18"/>
  <c r="L53" i="18"/>
  <c r="L50" i="18"/>
  <c r="L47" i="18"/>
  <c r="L44" i="18"/>
  <c r="L41" i="18"/>
  <c r="L35" i="18"/>
  <c r="L32" i="18"/>
  <c r="L29" i="18"/>
  <c r="L26" i="18"/>
  <c r="L23" i="18"/>
  <c r="L20" i="18"/>
  <c r="L17" i="18"/>
  <c r="L14" i="18"/>
  <c r="L11" i="18"/>
  <c r="L8" i="18"/>
  <c r="L5" i="18"/>
  <c r="L54" i="18"/>
  <c r="L51" i="18"/>
  <c r="L48" i="18"/>
  <c r="L45" i="18"/>
  <c r="L42" i="18"/>
  <c r="L39" i="18"/>
  <c r="L36" i="18"/>
  <c r="L33" i="18"/>
  <c r="L30" i="18"/>
  <c r="L27" i="18"/>
  <c r="L24" i="18"/>
  <c r="L18" i="18"/>
  <c r="L15" i="18"/>
  <c r="L12" i="18"/>
  <c r="L9" i="18"/>
  <c r="L6" i="18"/>
  <c r="E4" i="14"/>
  <c r="L58" i="18"/>
  <c r="L55" i="18"/>
  <c r="L52" i="18"/>
  <c r="L49" i="18"/>
  <c r="L46" i="18"/>
  <c r="L40" i="18"/>
  <c r="L37" i="18"/>
  <c r="L34" i="18"/>
  <c r="L31" i="18"/>
  <c r="L28" i="18"/>
  <c r="L25" i="18"/>
  <c r="L22" i="18"/>
  <c r="L19" i="18"/>
  <c r="L16" i="18"/>
  <c r="L13" i="18"/>
  <c r="L10" i="18"/>
  <c r="L4" i="18"/>
  <c r="J11" i="14"/>
  <c r="M6" i="15"/>
  <c r="D12" i="14"/>
  <c r="M17" i="15"/>
  <c r="C4" i="14"/>
  <c r="B17" i="14"/>
  <c r="E18" i="14"/>
  <c r="M4" i="15"/>
  <c r="M15" i="15"/>
  <c r="H7" i="16"/>
  <c r="H15" i="16"/>
  <c r="M13" i="15"/>
  <c r="I16" i="16"/>
  <c r="G6" i="17"/>
  <c r="H16" i="16"/>
  <c r="M7" i="17"/>
  <c r="I42" i="16"/>
  <c r="H42" i="16"/>
  <c r="K8" i="17"/>
  <c r="H46" i="16"/>
  <c r="N7" i="17"/>
  <c r="P7" i="17" s="1"/>
  <c r="H20" i="16"/>
  <c r="H32" i="16"/>
  <c r="H44" i="16"/>
  <c r="H56" i="16"/>
  <c r="H68" i="16"/>
  <c r="H25" i="16"/>
  <c r="H37" i="16"/>
  <c r="H49" i="16"/>
  <c r="H61" i="16"/>
  <c r="I49" i="16"/>
  <c r="H54" i="16"/>
  <c r="H66" i="16"/>
  <c r="H23" i="16"/>
  <c r="H35" i="16"/>
  <c r="H47" i="16"/>
  <c r="H28" i="16"/>
  <c r="H40" i="16"/>
  <c r="H52" i="16"/>
  <c r="J4" i="17"/>
  <c r="H21" i="16"/>
  <c r="H33" i="16"/>
  <c r="H45" i="16"/>
  <c r="H57" i="16"/>
  <c r="I64" i="16"/>
  <c r="H69" i="16"/>
  <c r="J5" i="17"/>
  <c r="H38" i="16"/>
  <c r="H50" i="16"/>
  <c r="H62" i="16"/>
  <c r="H55" i="16"/>
  <c r="H67" i="16"/>
  <c r="H53" i="14" l="1"/>
  <c r="I53" i="14"/>
  <c r="C53" i="14"/>
  <c r="F53" i="14"/>
  <c r="D53" i="14"/>
  <c r="E53" i="14"/>
  <c r="H41" i="14"/>
  <c r="I41" i="14"/>
  <c r="F41" i="14"/>
  <c r="C41" i="14"/>
  <c r="D41" i="14"/>
  <c r="E41" i="14"/>
  <c r="E14" i="14"/>
  <c r="L7" i="18"/>
  <c r="L43" i="18"/>
  <c r="L21" i="18"/>
  <c r="L57" i="18"/>
  <c r="L38" i="18"/>
  <c r="M7" i="15"/>
  <c r="F4" i="14"/>
  <c r="H47" i="14"/>
  <c r="I47" i="14"/>
  <c r="F47" i="14"/>
  <c r="C47" i="14"/>
  <c r="D47" i="14"/>
  <c r="E47" i="14"/>
  <c r="M8" i="15"/>
  <c r="M14" i="15"/>
  <c r="M5" i="15"/>
  <c r="C14" i="14"/>
  <c r="F6" i="14"/>
  <c r="E6" i="14"/>
  <c r="D6" i="14"/>
  <c r="C6" i="14"/>
  <c r="I14" i="14"/>
  <c r="H6" i="14"/>
  <c r="H14" i="14"/>
  <c r="O7" i="17"/>
  <c r="C15" i="14"/>
  <c r="I15" i="14"/>
  <c r="H15" i="14"/>
  <c r="F15" i="14"/>
  <c r="E15" i="14"/>
  <c r="D15" i="14"/>
  <c r="F6" i="19"/>
  <c r="R6" i="17"/>
  <c r="P8" i="17"/>
  <c r="O8" i="17"/>
  <c r="F4" i="19"/>
  <c r="R4" i="17"/>
  <c r="E16" i="14"/>
  <c r="I16" i="14"/>
  <c r="H16" i="14"/>
  <c r="F16" i="14"/>
  <c r="D16" i="14"/>
  <c r="C16" i="14"/>
  <c r="I11" i="14"/>
  <c r="H11" i="14"/>
  <c r="F11" i="14"/>
  <c r="E11" i="14"/>
  <c r="D11" i="14"/>
  <c r="C11" i="14"/>
  <c r="I7" i="14"/>
  <c r="H7" i="14"/>
  <c r="F7" i="14"/>
  <c r="E7" i="14"/>
  <c r="C7" i="14"/>
  <c r="D7" i="14"/>
  <c r="B9" i="19"/>
  <c r="D17" i="14"/>
  <c r="I17" i="14"/>
  <c r="C17" i="14"/>
  <c r="H17" i="14"/>
  <c r="E17" i="14"/>
  <c r="F17" i="14"/>
  <c r="F5" i="14"/>
  <c r="I5" i="14"/>
  <c r="E5" i="14"/>
  <c r="D5" i="14"/>
  <c r="C5" i="14"/>
  <c r="H5" i="14"/>
  <c r="O5" i="17"/>
  <c r="R5" i="17" l="1"/>
  <c r="F5" i="19"/>
  <c r="G4" i="19"/>
  <c r="S4" i="17"/>
  <c r="H4" i="19" s="1"/>
  <c r="R7" i="17"/>
  <c r="F7" i="19"/>
  <c r="F8" i="19"/>
  <c r="R8" i="17"/>
  <c r="G6" i="19"/>
  <c r="S6" i="17"/>
  <c r="H6" i="19" s="1"/>
  <c r="G8" i="19" l="1"/>
  <c r="S8" i="17"/>
  <c r="H8" i="19" s="1"/>
  <c r="S7" i="17"/>
  <c r="H7" i="19" s="1"/>
  <c r="G7" i="19"/>
  <c r="S5" i="17"/>
  <c r="H5" i="19" s="1"/>
  <c r="G5" i="19"/>
</calcChain>
</file>

<file path=xl/sharedStrings.xml><?xml version="1.0" encoding="utf-8"?>
<sst xmlns="http://schemas.openxmlformats.org/spreadsheetml/2006/main" count="7432" uniqueCount="1812">
  <si>
    <t>Aura, Spell, AoE, Fire
Level: (1-20)
Reservation: 50% Mana
Cooldown Time: 1.20 sec
Can Store 1 Use(s)
Cast Time: Instant
Requires Level 24
Casts an aura that adds fire damage to the attacks and spells of you and your allies.
+(0-1.9) metres to radius
You and nearby allies deal (16-109) to (23-155) additional Fire Damage with Attacks
You and nearby allies deal (16-109) to (23-155) additional Fire Damage with Spells</t>
  </si>
  <si>
    <t>Earthquake
Attack, AoE, Melee, Duration, Slam
Level: (1-20)
Cost: (10-13) Mana
Attack Speed: 75% of base
Attack Damage: (143-229)% of base
Effectiveness of Added Damage: (143-229)%
AoE Radius: 18 / 28
Requires Level 28
Smashes the ground, dealing damage in an area and cracking the earth. The crack will erupt in a powerful aftershock after a duration. Cracks created before the first one has erupted will not generate their own aftershocks. Requires an Axe, Mace, Sceptre, Staff or Unarmed.
Base duration is 1.00 second
Aftershock deals 150% more Damage with Hits and Ailments</t>
  </si>
  <si>
    <t>Exsanguinate
Spell, Chaining, Physical, Duration
Level: (1-20)
Cost: (16-46) Life
Cast Time: 0.80 sec
Critical Strike Chance: 6.00%
Effectiveness of Added Damage: (150-270)%
Requires Level 12
Releases several tendrils of blood from your character, targeting enemies in a narrow angle in front of you. The beams deal physical damage and inflict a physical damage over time debuff to enemies, which can stack up to 3 times. Effects which allow skills to chain can apply to these tendrils.
Deals (17-1193) to (25-1789) Physical Damage
Deals (26.9-1534.2) Base Physical Damage per second
Base duration is 1.00 second
Modifiers to Spell Damage apply to this Skill's Damage Over Time effect
Fires tendrils at up to (7-9) Targets</t>
  </si>
  <si>
    <t>Ground Slam
Attack, AoE, Melee, Slam
Level: (1-20)
Cost: (6-11) Mana
Attack Speed: 90% of base
Attack Damage: (132-356)% of base
Effectiveness of Added Damage: (132-356)%
AoE Radius: 35
Slams the ground in front of you, creating a wave that travels forward and damages enemies with an increased chance to stun. The wave deals more damage to closer enemies. Requires an Axe, Mace, Sceptre, Staff or Unarmed.
25% reduced Enemy Stun Threshold
+(0-1) metre to radius
Deals up to (40-49)% more Damage with Hits to closer targets</t>
  </si>
  <si>
    <t>Herald of Ash
Spell, AoE, Fire, Herald, Duration
Level: (1-20)
Reservation: 25% Mana
Cooldown Time: 1.00 sec
Can Store 1 Use(s)
Cast Time: Instant
AoE Radius: 10
Requires Level 16
Grants a buff providing fire damage based on your physical damage. While you have this buff, if you kill an enemy, other enemies near them will be burned based on the overkill damage. The burn inflicted by this skill can only be affected by modifiers to damage over time (burning damage is damage over time).
Base duration is 4.00 seconds
Base Burning Damage is 25% of Overkill Damage
(0-38)% more Burning Damage
Buff grants (15-20)% of your Physical Damage as Extra Fire Damage</t>
  </si>
  <si>
    <t>Molten Strike
Attack, Projectile, AoE, Melee, Strike, Fire
Level: (1-20)
Cost: (6-10) Mana
Attack Damage: (126-329)% of base
Effectiveness of Added Damage: (126-329)%
Projectile Speed: 750
Infuses your melee weapon with molten energies to attack with physical and fire damage. This attack causes balls of molten magma to launch forth from the enemies you hit, divided amongst all enemies hit by the strike. These will deal area attack damage to enemies where they land.
Fires 4 Projectiles
60% of Physical Damage Converted to Fire Damage
Projectiles deal 60% less Damage with Hits and Ailments</t>
  </si>
  <si>
    <t>Pride
Spell, AoE, Aura, Physical
Level: (1-20)
Reservation: 50% Mana
Cooldown Time: 1.20 sec
Can Store 1 Use(s)
Cast Time: Instant
Requires Level 24
Casts an aura that causes nearby enemies to take more physical damage.
+(0-1) metre to radius
Nearby Enemies take at least (15-19)% more Physical Damage,
raising up to (30-39)% as they stay in the Aura for 4 seconds</t>
  </si>
  <si>
    <t>Reap
Spell, Physical, AoE, Duration
Level: (1-20)
Cost: (25-46) Life
Cast Time: 0.80 sec
Critical Strike Chance: 6.00%
Effectiveness of Added Damage: (150-210)%
Requires Level 28
A bloody scythe swipes across a selected area, applying a physical damage over time debuff and hitting enemies with physical damage. If any survive, you gain a blood charge which raises the damage and cost of the skill. Players can have 5 maximum blood charges.
Deals (57-943) to (86-1414) Physical Damage
Deals (138.2-2002.5) Base Physical Damage per second
Base duration is 1.00 second
Modifiers to Spell Damage apply to this Skill's Damage Over Time effect
Gain a Blood Charge if this Skill Hits Enemies and none of them Die
Lose a Blood Charge when an Enemy Dies while affected by this Skill's Debuff
Costs 20% more Life per Blood Charge
Deals 15% more Damage per Blood Charge</t>
  </si>
  <si>
    <t>Smite
Lightning, Melee, Attack, AoE, Duration, Strike, Aura
Level: (1-20)
Cost: (7-12) Mana
Attack Speed: 85% of base
Attack Damage: (225-488)% of base
Effectiveness of Added Damage: (225-488)%
Performs a melee attack, and causes lightning to strike a nearby enemy, dealing damage in an area. Each target can only be hit once by this skill. Hitting an enemy grants an aura for a duration. Requires a Sword, Axe, Mace, Sceptre, Staff or Unarmed.
50% of Physical Damage Converted to Lightning Damage
Base duration is 4.00 seconds
(30-20)% less Area Damage
Base radius is (1.5-2.1) metres
Base Aura radius is (3.6-4.2) metres
Lightning strikes 1 target within 5 metres
Aura grants (1-12) to (4-220) added Lightning Damage
Aura grants (10-19)% chance to Shock</t>
  </si>
  <si>
    <t>Summon Stone Golem
Minion, Spell, Golem, Physical
Level: (1-20)
Cost: (30-54) Mana
Cooldown Time: 6.00 sec
Can Store 1 Use(s)
Cast Time: 1.00 sec
Requires Level 34
Summons a Stone Golem that grants you life regeneration and defences. In addition to its melee attack, the Stone Golem uses a rolling charge and a powerful slam that can taunt enemies.
Maximum 1 Summoned Golem
Golems grant (33-105) Life Regenerated per second
Golems grant 20% increased Defences</t>
  </si>
  <si>
    <t>Swordstorm
Attack, Melee, AoE, Retaliation
Level: (1-20)
Cost: (7-10) Mana
Cooldown Time: 3.00 sec
Can Store 1 Use(s)
Attack Damage: (123-247)% of base
Effectiveness of Added Damage: (123-247)%
Requires Level 16
Retaliate against a blocked hit with a hail of blades that rains down in front of you, repeatedly dealing the damage of both your weapons combined. Requires Dual Wielding Melee Weapons.
Cannot be used by default
Becomes Usable once for 2 seconds when you Block a Hit
Can't be Evaded
Base radius is (1.8-2.3) metres
Damages Enemies 8 times</t>
  </si>
  <si>
    <t xml:space="preserve">
Volcanic Fissure
Melee, Attack, Projectile, AoE, Slam, Fire
Level: (1-20)
Cost: (8-13) Mana
Attack Speed: 80% of base
Attack Damage: (177-344)% of base
Effectiveness of Added Damage: (177-344)%
Requires Level 12
Slam the ground, creating a winding fissure that deals area damage while travelling outwards. When it reaches the target location it erupts, releasing a burst of molten projectiles. Requires an Axe, Mace, Sceptre, Staff or Unarmed.
Fires 5 Projectiles
60% of Physical Damage Converted to Fire Damage
Projectiles deal 50% less Damage with Hits and Ailments</t>
  </si>
  <si>
    <t>Animate Weapon
Duration, Minion, Spell, Physical
Level: (1-20)
Cost: (4-16) Mana
Cast Time: 0.60 sec
Requires Level 4
Animates a Melee Weapon Item or Lingering Blade to fight by your side. You cannot animate unidentified Weapons. Will not animate weapons with 6 sockets. Cannot be used by Traps or Mines.
Base duration is 40.00 seconds
Maximum (5-14) Animated Weapons
Can use Items requiring up to Level (9-100)
Minions' Attacks deal (5-126) to (8-184) additional Physical Damage
Animated Lingering Blades deal (1-17) to (2-80) Added Attack Physical Damage
Minions deal (0-38)% more Damage
Minions have (0-38)% more Attack Speed</t>
  </si>
  <si>
    <t>Barrage
Attack, Projectile, Bow
Level: (1-20)
Cost: (5-9) Mana
Attack Speed: 115% of base
Attack Damage: (47-54)% of base
Effectiveness of Added Damage: (47-55)%
Requires Level 12
After a short preparation time, you fire individual projectiles repeatedly with a Bow or Wand. These projectiles have a small randomised spread. This skill cannot be Triggered.
Fires 5 Projectiles
Fires Projectiles sequentially</t>
  </si>
  <si>
    <t>Blade Vortex
Spell, AoE, Duration, Physical
Level: (1-20)
Cost: (6-16) Mana
Cast Time: 0.50 sec
Critical Strike Chance: 6.00%
Effectiveness of Added Damage: 30%
Requires Level 12
This spell creates ethereal blades which orbit in an area around you, dealing damage every 0.6 seconds to all enemies in their radius. As more blades are added, the damage becomes greater and more frequent.
Deals (3-140) to (5-211) Physical Damage
Base duration is 4.00 seconds
+(0-0.2) metres to radius
35% increased Hit Rate for each blade
35% more Damage for each blade
Can have up to 10 active spinning blades</t>
  </si>
  <si>
    <t>Blast Rain
Fire, Attack, AoE, Projectile, Bow
Level: (1-20)
Cost: (7-10) Mana
Attack Damage: (30-35)% of base
Effectiveness of Added Damage: (30-36)%
Requires Level 28
Fires arrows up in the air, to rain down in an area. Each arrow deals area damage around where it lands, and they will all overlap on the targeted location.
Fires 6 Arrows
100% of Physical Damage Converted to Fire Damage
Penetrates (20-30)% Fire Resistance</t>
  </si>
  <si>
    <t xml:space="preserve">
Burning Arrow
Attack, Projectile, Fire, Bow
Level: (1-20)
Cost: (8-14) Mana
Attack Speed: 70% of base
Attack Damage: (280-420)% of base
Effectiveness of Added Damage: (280-420)%
Projectile Speed: 3260
Fires a burning arrow that deals fire damage and has a chance to ignite.
25% chance to Ignite enemies
100% of Physical Damage Converted to Fire Damage</t>
  </si>
  <si>
    <t>Cobra Lash
Attack, Projectile, Chaos
Level: (1-20)
Cost: (5-8) Mana
Attack Speed: 120% of base
Attack Damage: (125-205)% of base
Effectiveness of Added Damage: (125-205)%
Fires a poisonous projectile based on your weapon that will chain between enemies. Requires a Dagger or Claw.
8% more Damage with Hits and Ailments for each remaining Chain
Chains +(3-5) Times
60% of Physical Damage Converted to Chaos Damage
40% chance to Poison on Hit</t>
  </si>
  <si>
    <t>Cyclone
Attack, AoE, Melee, Movement, Channelling
Level: (1-20)
Cost: (2-3) Mana
Attack Speed: 300% of base
Attack Damage: (81-150)% of base
Effectiveness of Added Damage: (81-150)%
AoE Radius: 1.6
Requires Level 28
Channel this skill to move towards a targeted location while spinning constantly attacking enemies in an area around you. While channelling this skill, you cannot be knocked back.
15% increased Area of Effect per 0.1 metre additional Melee Strike Range
(30-20)% less Movement Speed</t>
  </si>
  <si>
    <t>Detonate Dead
Spell, AoE, Fire
Level: (1-20)
Cost: (5-20) Mana
Cast Time: 0.60 sec
Critical Strike Chance: 6.00%
Effectiveness of Added Damage: 160%
AoE Radius: 22
Requires Level 4
Targets a corpse, and deals spell damage to enemies around the corpse, as well as causing the corpse to explode, dealing fire damage. The explosion is not affected by modifiers to spell damage and cannot be reflected.
Deals (15-798) to (22-1197) Fire Damage
Explosion deals base Fire Damage equal to (6-7.9)% of the corpse's Maximum Life
Base radius is (2.2-2.6) metres</t>
  </si>
  <si>
    <t>Explosive Arrow
Attack, Projectile, AoE, Duration, Fire, Bow
Level: (1-20)
Cost: (7-10) Mana
Projectile Speed: 3260
AoE Radius: 15
Requires Level 28
Fires an arrow which will stick into an enemy or wall, and then explode, dealing area damage around it, either after a duration or when the maximum number of arrows stuck to that target is reached. If an enemy has multiple Explosive Arrows stuck in them, the first one to explode will consume the others, adding their damage to its explosion.
Base duration is 1.00 second
Explosion deals 50% less Base Damage
Explosion will have (47-522) to (71-783) added Fire Damage
+0.2 metres to Explosion Radius per Explosive Arrow on Target, up to a maximum of +1.2 metres
Explosion deals 6% more Damage with Hits per Explosive Arrow on Target
Explosion deals 3% more Damage with Ailments per Explosive Arrow on Target
Maximum 20 Explosive Arrows stuck in an Enemy</t>
  </si>
  <si>
    <t xml:space="preserve">
Explosive Concoction
Attack, AoE, Fire, Cold, Lightning, Projectile
Level: (1-20)
Cost: (6-9) Mana
Attack Speed: 115% of base
Requires Level 28
Throws a bottle that explodes to deal unarmed attack damage in an area. Can consume charges from your Ruby, Sapphire, and Topaz flasks to add further damage. Requires an empty main hand, and no off-hand weapon.
(65-806) to (98-1210) Added Fire Damage
+6% to Critical Strike Chance
Base radius is 1.8 metres
Can consume Charges from Ruby, Sapphire, and Topaz Flasks
Consumes 1 Charge per Projectile Fired from 1 Flask of each valid type, if possible
Deals (57-706) to (86-1058) Added Cold Damage if Charges were consumed from a Sapphire Flask
Deals (12-151) to (143-1764) Added Lightning Damage if Charges were consumed from a Topaz Flask
+(120-196)% to Damage over Time Multiplier with Ignite if Charges were consumed from a Ruby Flask</t>
  </si>
  <si>
    <t>Flicker Strike
Attack, Melee, Strike, Movement, Duration
Level: (1-20)
Cost: (5-8) Mana
Cooldown Time: 2.00 sec
Can Store 1 Use(s)
Attack Speed: 120% of base
Attack Damage: (177-408)% of base
Effectiveness of Added Damage: (177-408)%
Requires Level 10
Teleports the character to a nearby monster and attacks with a melee weapon. If no specific monster is targeted, one is picked at random. Grants a buff that increases movement speed for a duration. The cooldown can be bypassed by expending a Frenzy Charge.
Base duration is 3.00 seconds
10% increased Attack Speed per Frenzy Charge
15% chance to gain a Frenzy Charge on Hit
Buff grants 20% increased Movement Speed</t>
  </si>
  <si>
    <t>Frost Blades
Attack, Projectile, Melee, Strike, Cold
Level: (1-20)
Cost: (6-10) Mana
Attack Damage: (143-409)% of base
Effectiveness of Added Damage: (143-409)%
Projectile Speed: 2250
Attack enemies with increased range, releasing icy blades from the first enemy hit which fly at other enemies. Requires a Melee Weapon.
Fires (5-8) Projectiles
60% of Physical Damage Converted to Cold Damage
+(1.8-2.1) metres to Melee Strike Range
Projectiles deal 30% less Damage with Hits and Ailments</t>
  </si>
  <si>
    <t xml:space="preserve">
Galvanic Arrow
Lightning, Attack, Projectile, AoE, Bow
Level: (1-20)
Cost: (6-10) Mana
Attack Damage: (92-113)% of base
Effectiveness of Added Damage: (92-113)%
Fire a trio of electrical arrows that quickly dissipate, vanishing shortly after being loosed. The arrows are fired with such force that they create a burst of lightning, damaging enemies in a cone in front of you.
50% of Physical Damage Converted to Lightning Damage
Fires 3 Arrows
+(0-0.5) metres to radius
Increases and Reductions to Projectile Speed also apply to
this Skill's Area of Effect</t>
  </si>
  <si>
    <t>Haste
Aura, Spell, AoE
Level: (1-20)
Reservation: 50% Mana
Cooldown Time: 1.20 sec
Can Store 1 Use(s)
Cast Time: Instant
AoE Radius: 36
Requires Level 24
Casts an aura that increases the movement speed, attack speed and cast speed of you and your allies.
+(0-1.9) metres to radius
You and nearby allies gain (10-16)% increased Movement Speed
You and nearby allies gain (15-24)% increased Attack Speed
You and nearby allies gain (15-24)% increased Cast Speed</t>
  </si>
  <si>
    <t>Hatred
Aura, Spell, AoE, Cold
Level: (1-20)
Reservation: 50% Mana
Cooldown Time: 1.20 sec
Can Store 1 Use(s)
Cast Time: Instant
AoE Radius: 36
Requires Level 24
Casts an aura that grants extra cold damage based on physical damage to you and your allies.
+(0-1.9) metres to radius
You and nearby allies gain (30-39)% of Physical Damage as Extra Cold Damage</t>
  </si>
  <si>
    <t>Herald of Agony
Spell, Herald, Minion, Chaos, Physical
Level: (1-20)
Reservation: 25% Mana
Cooldown Time: 1.00 sec
Can Store 1 Use(s)
Cast Time: Instant
Requires Level 16
Grants a buff giving more poison damage and a chance to inflict poison. When you poison an enemy while you have this buff, you gain Virulence, and summon an Agony Crawler minion that uses projectile and area attacks. You will lose Virulence over time, at a rate which increases the more Virulence you have. The minion will die when you have no Virulence.
Maximum 1 Summoned Agony Crawler
Buff grants 20% chance to Poison on Hit
Grants Virulence when you Poison an Enemy
Buff grants 10% more Damage with Poison
40 Maximum Virulence
Minions cannot Taunt Enemies
Agony Crawler has (2-4)% increased Attack Speed per Virulence you have
Agony Crawler deals (5-9)% increased Physical Damage per Virulence you have
Agony Crawler has (1-45) to (3-84) Added Physical Damage per Virulence you have</t>
  </si>
  <si>
    <t>Herald of Ice
Spell, AoE, Cold, Herald
Level: (1-20)
Reservation: 25% Mana
Cooldown Time: 1.00 sec
Can Store 1 Use(s)
Cast Time: Instant
Effectiveness of Added Damage: 80%
Requires Level 16
Grants a buff adding cold damage to spells and attacks. If you shatter an enemy, this skill will cause them to explode and deal AoE cold damage to enemies near them. This damage is not affected by modifiers to spell damage.
Deals (18-308) to (26-462) Cold Damage
Damage cannot be Reflected
Base radius is 1.2 metres
Buff grants (4-38) to (5-56) Added Attack Cold Damage
Buff grants (4-38) to (5-56) Added Spell Cold Damag</t>
  </si>
  <si>
    <t>Ice Shot
Attack, Projectile, AoE, Cold, Bow
Level: (1-20)
Cost: (6-10) Mana
Attack Damage: (149-200)% of base
Effectiveness of Added Damage: (149-200)%
Projectile Speed: 3260
AoE Radius: 23 / 10
Fires an arrow that converts some physical damage to cold on its target and converts all physical damage to cold in a cone behind that target.
60% of Physical Damage Converted to Cold Damage
Base radius is 2.4 metres
Chills Enemies as though dealing (100-195)% more Damage</t>
  </si>
  <si>
    <t>Lacerate
Attack, AoE, Melee, Physical
Level: (1-20)
Cost: (10-17) Mana
Attack Speed: 60% of base
Attack Damage: (171-393)% of base
Effectiveness of Added Damage: (171-393)%
AoE Radius: 38
Requires Level 12
Slashes twice, releasing waves of force that damage enemies they hit. Enemies in the middle of the slashes can be hit by both. The slashes will have a chance to inflict bleeding in Blood Stance, or have a wider angle in Sand Stance. Can be used with Axes and Swords. You are in Blood Stance by default.
+(0-0.9) metres to radius
(50-88)% more Damage with Bleeding while in Blood Stance
25% chance to cause Bleeding while in Blood Stance
50% increased angle while in Sand Stance</t>
  </si>
  <si>
    <t>Lightning Arrow
Attack, AoE, Projectile, Lightning, Bow
Level: (1-20)
Cost: (6-10) Mana
Attack Damage: (149-177)% of base
Effectiveness of Added Damage: (149-177)%
Projectile Speed: 3260
Requires Level 12
Fires a charged arrow which damages enemies by causing them to be struck by a bolt of lightning, which also damages a number of surrounding enemies.
50% of Physical Damage Converted to Lightning Damage
Hits up to 3 additional enemies near the target
Shocks Enemies as though dealing (100-290)% more Damage</t>
  </si>
  <si>
    <t>Lightning Strike
Attack, Projectile, Melee, Strike, Lightning
Level: (1-20)
Cost: (6-10) Mana
Attack Damage: (198-456)% of base
Effectiveness of Added Damage: (198-456)%
Requires Level 12
Infuses your melee weapon with electrical energies as you swing. In addition to converting some of your physical damage to lightning damage, the stored energy is released from the weapon as projectiles as you strike, flying out to hit farther-away enemies. The projectiles cannot miss if the melee attack hit a target.
50% of Physical Damage Converted to Lightning Damage
Fires 3 Projectiles
Projectiles deal 50% less Damage with Hits and Ailments</t>
  </si>
  <si>
    <t>Poisonous Concoction
Attack, AoE, Chaos, Projectile
Level: (1-20)
Cost: (5-9) Mana
Attack Speed: 115% of base
Requires Level 12
Throws a bottle that explodes to deal unarmed attack damage in an area and has a chance to poison. Can consume charges from a Life flask to add further damage. Requires an empty main hand, and no off-hand weapon.
(22-537) to (33-806) Added Chaos Damage
40% chance to Poison on Hit
+6% to Critical Strike Chance
Base radius is 1.8 metres
Consumes 1 Charge per Projectile Fired from 1 Life Flask, if possible
Added Chaos Damage equal to (4-16)% of Flask's Recovery Amount if Charges were consumed from a Life Flask</t>
  </si>
  <si>
    <t>Precision
Aura, Critical, Spell, AoE
Level: (1-20)
Reservation: (22-186) Mana
Cooldown Time: 1.20 sec
Can Store 1 Use(s)
Cast Time: Instant
Requires Level 10
Casts an aura that grants accuracy and critical strike chance to you and your allies.
+(0-1.9) metres to radius
You and nearby allies gain (20-58)% increased Critical Strike Chance
You and nearby allies gain +(93-701) to Accuracy Rating</t>
  </si>
  <si>
    <t>Rain of Arrows
Attack, AoE, Projectile, Bow
Level: (1-20)
Cost: (6-10) Mana
Attack Damage: (48-60)% of base
Effectiveness of Added Damage: (48-60)%
AoE Radius: 24
Requires Level 12
Fires multiple arrows into the air, to land in sequence after a delay, starting at the targeted location and spreading outwards in all directions. Each arrow deals damage in an area around it. Half of the arrows will land directly on targets if there are targets in their range.
Fires (18-22) Arrows</t>
  </si>
  <si>
    <t>Scourge Arrow
Attack, Projectile, Channelling, Chaos, Bow
Level: (1-20)
Cost: (4-5) Mana
Attack Speed: 190% of base
Attack Damage: (48-65)% of base
Effectiveness of Added Damage: (48-65)%
Requires Level 28
Channel to infuse an arrow with chaos, gaining stages while it is held. Release to fire it, leaving spore pods in its wake. Each spore pod blooms, firing thorn arrows, which travel for a short time before dissipating. Modifiers that cause additional projectiles to be fired will only apply to the initial arrows, and the spore pods will be divided between those arrows.
Arrows Pierce all Targets
60% of Physical Damage Converted to Chaos Damage
150% more Damage with Hits and Ailments per Stage
Maximum 5 Stages
Leaves 1 Spore Pod per Stage
Each Spore Pod fires 9 Thorn Arrows
Thorn Arrows deal (60-50)% less Damage</t>
  </si>
  <si>
    <t>Tornado Shot
Attack, Projectile, Bow
Level: (1-20)
Cost: (9-13) Mana
Attack Speed: 80% of base
Attack Damage: (100-120)% of base
Effectiveness of Added Damage: (100-120)%
Requires Level 28
Fires a piercing shot that travels until it reaches the targeted location. It will then fire projectiles out in all directions from that point, which will travel for a short time before disappearing.
Fires 3 secondary Projectiles</t>
  </si>
  <si>
    <t>Toxic Rain
Attack, AoE, Chaos, Duration, Projectile, Bow
Level: (1-20)
Cost: (6-10) Mana
Attack Damage: (50-72)% of base
Effectiveness of Added Damage: (50-73)%
Requires Level 12
Fire arrows into the air that rain down around the targeted area, dealing damage to enemies they hit and creating spore pods where they land. Each spore pod deals chaos damage over time to nearby enemies and slows their movement speed. The pods last for a duration before bursting, dealing area damage.
Deals (8-238) Base Chaos Damage per second
Base duration is 1.00 second
Fires 5 Arrows
Modifiers to Projectile Damage apply to this Skill's Damage Over Time effect
60% of Physical Damage Converted to Chaos Damage
Each Spore Pod applies 5% less Movement Speed to nearby Enemies, to a maximum of 30%</t>
  </si>
  <si>
    <t>Arc
Spell, Chaining, Lightning
Level: (1-20)
Cost: (8-23) Mana
Cast Time: 0.70 sec
Critical Strike Chance: 6.00%
Effectiveness of Added Damage: 120%
Requires Level 12
An arc of lightning reaches from the caster to a targeted enemy and chains to other enemies, but not immediately back. Each time the arc chains, it will also chain a secondary arc to another enemy that the main arc has not already hit, which cannot chain further.
Deals (6-198) to (32-1122) Lightning Damage
Chains +(4-7) Times
15% more Damage with Hits and Ailments for each remaining Chain</t>
  </si>
  <si>
    <t>Ball Lightning
Spell, Projectile, AoE, Lightning
Level: (1-20)
Cost: (12-23) Mana
Cast Time: 0.70 sec
Critical Strike Chance: 5.00%
Effectiveness of Added Damage: 60%
Projectile Speed: 400
AoE Radius: 22
Requires Level 28
Fires a slow-moving projectile that damages each enemy in an area around it repeatedly with bolts of lightning.
Deals (2-32) to (47-617) Lightning Damage
Base radius is 1.8 metres</t>
  </si>
  <si>
    <t>Blight
Spell, Chaos, AoE, Channelling, Duration
Level: (1-20)
Cost: (2-5) Mana
Cast Time: 0.30 sec
AoE Radius: 26
Apply a debuff to enemies in front of you which deals chaos damage over time. Enemies who aren't already debuffed by Blight are also hindered for a shorter secondary duration, slowing their movement. Continued channelling adds layers of damage to the debuff, each with their own duration.
Deals (5.9-421.5) Base Chaos Damage per second
Base duration is 2.00 seconds
Base secondary duration is 1.00 seconds
Modifiers to Spell Damage apply to this Skill's Damage Over Time effect
+(0-0.6) metres to radius
80% reduced Movement Speed
Debuff can have up to 20 layers of Damage</t>
  </si>
  <si>
    <t>Blazing Salvo
Spell, AoE, Fire, Projectile
Level: (1-20)
Cost: (8-23) Mana
Cast Time: 0.70 sec
Critical Strike Chance: 6.00%
Effectiveness of Added Damage: 60%
Requires Level 12
Fires projectiles which fly in an arc, dealing area damage on impact with either enemies or the ground near where you target. Targeting farther away causes the projectiles to spread out and land over a wider area.
Deals (7-270) to (10-405) Fire Damage
Fires (5-7) Projectiles</t>
  </si>
  <si>
    <t>Eye of Winter
Spell, Projectile, Cold
Level: (1-20)
Cost: (14-26) Mana
Cast Time: 0.80 sec
Critical Strike Chance: 6.00%
Effectiveness of Added Damage: 55%
Requires Level 28
Fires a single eye projectile which constantly releases shard projectiles in a spiral. The shards will damage enemies they impact, dealing cold damage. The eye cannot damage enemies. When the eye dissipates or collides with terrain, it releases a faster spiral of extra shards.
Deals (16-245) to (25-367) Cold Damage
Modifiers to number of Projectiles only apply to the final Spiral
Fires 8 Shard Projectiles in a Spiral when Projectile ends
Projectiles continuously gain Damage, up to 200% more Damage by the time they dissipate</t>
  </si>
  <si>
    <t xml:space="preserve">
Fireball
Projectile, Spell, AoE, Fire
Level: (1-20)
Cost: (6-25) Mana
Cast Time: 0.75 sec
Critical Strike Chance: 6.00%
Effectiveness of Added Damage: (260-370)%
Projectile Speed: 1040
AoE Radius: 9
Unleashes a ball of fire towards a target which explodes, damaging nearby foes.
Deals (9-1640) to (14-2460) Fire Damage
25% chance to Ignite enemies
Base radius is (0.9-1.4) metres</t>
  </si>
  <si>
    <t>Forbidden Rite
Spell, AoE, Chaos, Projectile
Level: (1-20)
Cost: (8-21) Mana
Cast Time: 0.75 sec
Critical Strike Chance: 6.00%
Effectiveness of Added Damage: 110%
Requires Level 16
Lobs an exploding projectile near the targeted location, and extra projectiles toward enemies around you. The projectiles deal chaos damage based on your life and energy shield. Casting this spell damages you.
Deals (15-498) to (22-747) Chaos Damage
Deals 5% of your maximum Energy Shield as base Chaos Damage
Deals 12% of your maximum Life as base Chaos Damage
Take 40% of maximum Life and 25% of maximum Energy Shield as Chaos Damage
Fires extra Projectiles at up to (6-7) surrounding Enemies</t>
  </si>
  <si>
    <t>Freezing Pulse
Spell, Projectile, Cold
Level: (1-20)
Cost: (5-21) Mana
Cast Time: 0.65 sec
Critical Strike Chance: 6.00%
Effectiveness of Added Damage: (250-330)%
Projectile Speed: 1800
An icy projectile which has a chance to freeze enemies it passes through. The projectile fades quickly, reducing damage and freezing chance until it dissipates.
Deals (8-1458) to (12-2188) Cold Damage
Projectiles Pierce all Targets
Projectiles continuously lose Damage, up to 50% less Damage by the time they dissipate
Projectiles have 25% chance to Freeze, which is lost over the first quarter of their flight</t>
  </si>
  <si>
    <t>Herald of Thunder
Spell, AoE, Duration, Lightning, Herald
Level: (1-20)
Reservation: 25% Mana
Cooldown Time: 1.00 sec
Can Store 1 Use(s)
Cast Time: Instant
AoE Radius: 32
Requires Level 16
Grants a buff which adds lightning damage to spells and attacks. If you kill a shocked enemy, this skill will create a storm, causing lightning bolts to strike enemies around you for a duration. The damage inflicted by this skill is not affected by modifiers to spell damage.
Deals (1-23) to (31-1108) Lightning Damage
Cannot inflict Shock
Base duration is 6.00 seconds
Storm Hits an Enemy every 0.25 Seconds
Creates a storm when you Kill a Shocked Enemy
Buff grants (2-19) to (7-76) Added Attack Lightning Damage
Buff grants (2-19) to (7-76) Added Spell Lightning Damage</t>
  </si>
  <si>
    <t>Kinetic Blast
Attack, Projectile, AoE
Level: (1-20)
Cost: (6-9) Mana
Attack Speed: 115% of base
Attack Damage: (140-155)% of base
Effectiveness of Added Damage: (140-155)%
AoE Radius: 14
Requires Level 28
Fires a projectile from a Wand that causes a series of area explosions in a secondary radius around its point of impact, each damaging enemies.
Kinetic Blast creates 4 additional explosions
Increases and Reductions to Spell Damage also apply to Attack Damage from this Skill at 200% of their value
35% less Area Damage
Base explosion radius is 1.4 metres
Base secondary radius is 2 metres</t>
  </si>
  <si>
    <t>Kinetic Rain
Attack, AoE, Projectile, Duration, Trigger
Level: (1-20)
Cost: (7-10) Mana
Attack Damage: (20-25)% of base
Effectiveness of Added Damage: (20-25)%
Requires Level 28
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Fires 8 Projectiles
Base targeting area length is 9 metres
Base targeting area width is 4.5 metres
Base explosion radius is 1.2 metres
Increases and Reductions to Spell Damage also apply to Attack Damage from this Skill at 150% of their value
Base duration is 6.00 seconds
Base explosion radius is 1.2 metres
Maximum 30 Anomalies
This Skill is Triggered when Projectiles from Kinetic Rain explode</t>
  </si>
  <si>
    <t>Orb of Storms
Lightning, Spell, AoE, Chaining, Orb
Level: (1-20)
Cost: (22-16) Mana
Cooldown Time: 0.50 sec
Can Store 1 Use(s)
Cast Time: 0.50 sec
Critical Strike Chance: 5.00%
Effectiveness of Added Damage: (80-110)%
Requires Level 4
Creates a stationary electrical orb that strikes enemies in its area of effect with beams of lightning that can then split to hit more enemies. Modifiers to cast speed will increase how frequently it does this. Casting this skill again will replace the previous orb.
Deals (3-304) to (8-913) Lightning Damage
Strikes every (3.50-2.55) seconds, and when you use a Lightning Skill near the Orb
Strikes every 0.50 seconds while Channelling a Lightning Skill near the Orb
Base radius is 2.8 metres
Beams Split towards targets within a base radius of 3.5 metres
Beam Splits towards 3 additional targets
Orb disappears after (10-29) Strikes</t>
  </si>
  <si>
    <t xml:space="preserve">
Raise Zombie
Spell, Minion
Level: (1-20)
Cost: (9-28) Mana
Cast Time: 0.85 sec
Raises a zombie minion from a corpse, which will follow you and attack enemies with a melee strike.
Maximum (3-6) Raised Zombies
Minions have (0-38)% more Maximum Life</t>
  </si>
  <si>
    <t>Righteous Fire
Spell, AoE, Fire
Level: (1-20)
Cooldown Time: 0.30 sec
Can Store 1 Use(s)
Cast Time: Instant
Requires Level 16
Engulfs you in magical fire that rapidly burns you and nearby enemies. Your spell damage is substantially increased while under this effect. The effect ends when you have 1 life remaining.
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t>
  </si>
  <si>
    <t>Summon Carrion Golem
Physical, Minion, Spell, Golem
Level: (1-20)
Cost: (30-54) Mana
Cooldown Time: 6.00 sec
Can Store 1 Use(s)
Cast Time: 1.00 sec
Requires Level 34
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
Golems deal 5% more Damage per Non-Golem Minion near them, up to 50%
Golems grant (7-27) to (11-41) additional Physical Damage for Non-Golem Minions</t>
  </si>
  <si>
    <t>Vortex
Spell, AoE, Cold, Duration, Nova
Level: (1-20)
Cost: (13-25) Mana
Cast Time: 0.75 sec
Critical Strike Chance: 6.00%
Effectiveness of Added Damage: (130-210)%
AoE Radius: 2
Requires Level 28
An icy blast explodes around the caster, dealing cold damage to enemies, and leaving behind a whirling vortex which deals cold damage over time and chills enemies caught in it.
Deals (48-933) to (72-1399) Cold Damage
Base duration is 3.00 seconds
Deals (115.6-2772.8) Base Cold Damage per second
Modifiers to Spell Damage apply to this Skill's Damage Over Time effect
Base radius is 2 metres
Base secondary radius is 2 metres</t>
  </si>
  <si>
    <t>Added Fire Damage Support
Fire, Physical, Support
Icon: F
Level: (1-20)
Cost &amp; Reservation Multiplier: 120%
Requires Level 8
Supports any skill that hits enemies.
Supported Skills gain (25-39)% of Physical Damage as Extra Fire Damage</t>
  </si>
  <si>
    <t>Brutality Support
Physical, Support
Icon: U
Level: (1-20)
Cost &amp; Reservation Multiplier: 140%
Requires Level 38
Supports any skill that deals damage.
Supported Skills deal (25-39)% more Physical Damage
Supported Skills deal no Chaos Damage
Supported Skills deal no Elemental Damage</t>
  </si>
  <si>
    <t>Burning Damage Support
Fire, Support
Icon: b
Level: (1-20)
Cost &amp; Reservation Multiplier: 130%
Requires Level 31
Supports any skill that hits enemies, or can deal burning damage directly.
Supported Skills deal (20-34)% more Burning Damage</t>
  </si>
  <si>
    <t>Chance to Bleed Support
Attack, Physical, Support
Icon: E
Level: (1-20)
Cost &amp; Reservation Multiplier: 120%
Supports attack skills.
Supported Attacks have 25% chance to cause Bleeding
Supported Attacks deal (10-29)% more Damage with Bleeding</t>
  </si>
  <si>
    <t>Cold to Fire Support
Cold, Fire, Support
Icon: x
Level: (1-20)
Cost &amp; Reservation Multiplier: 120%
Requires Level 18
Supports any skill that hits enemies.
Supported Skills gain (10-29)% of Cold Damage as Extra Fire Damage
Supported Skills have 50% of Cold Damage Converted to Fire Damage</t>
  </si>
  <si>
    <t>Cruelty Support
Support, Duration
Icon: Y
Level: (1-20)
Cost &amp; Reservation Multiplier: 140%
Requires Level 18
Supports any skill that hits enemies. Minions cannot gain Cruelty.
Supported Skills deal (15-24)% more Damage with Hits
Cruelty has a Base Duration of 4 seconds
Hits from Supported Skills grant Cruelty
(0-19)% increased Effect of Cruelty granted by Supported Skills</t>
  </si>
  <si>
    <t>lemental Damage with Attacks Support
Attack, Support
Icon: W
Level: (1-20)
Cost &amp; Reservation Multiplier: 130%
Requires Level 18
Supports attack skills.
Supported Attack Skills deal (20-34)% more Elemental Damage</t>
  </si>
  <si>
    <t>Endurance Charge on Melee Stun Support
Support, Melee, Attack
Icon: e
Level: (1-20)
Cost &amp; Reservation Multiplier: 120%
Requires Level 18
Supports melee attack skills.
4% more Damage per Endurance Charge
Supported Skills have (0-19)% reduced Enemy Stun Threshold
Gain an Endurance Charge when you Stun an Enemy with a Melee Hit from Supported Skills</t>
  </si>
  <si>
    <t>Fire Penetration Support
Fire, Support
Icon: V
Level: (1-20)
Cost &amp; Reservation Multiplier: 130%
Requires Level 31
Supports any skill that hits enemies, making those hits penetrate enemy fire resistance.
Supported Skills Penetrate (20-34)% Fire Resistance</t>
  </si>
  <si>
    <t>Less Duration Support
Support, Duration
Icon: d
Level: (1-20)
Cost &amp; Reservation Multiplier: 130%
Requires Level 31
Supports any skill that has a duration.
Supported Skills deal (10-19)% more Damage
Supported Skills have (40-49)% less Skill Effect Duration</t>
  </si>
  <si>
    <t>Maim Support
Attack, Physical, Support
Icon: m
Level: (1-20)
Cost &amp; Reservation Multiplier: 130%
Requires Level 8
Supports attack skills, or other skills that can maim enemies.
Supported Skills deal (10-19)% more Physical Damage
Supported Attacks have 30% chance to Maim on Hit
Enemies Maimed by Supported Skills take 10% increased Physical Damage</t>
  </si>
  <si>
    <t>Melee Physical Damage Support
Melee, Physical, Support, Attack
Icon: M
Level: (1-20)
Cost &amp; Reservation Multiplier: 130%
Requires Level 18
Supports melee attack skills.
Supported Skills deal (30-49)% more Melee Physical Damage
Supported Skills deal (30-49)% more Damage with Bleeding and Poison caused by Melee Hits
Supported Skills have 10% less Attack Speed</t>
  </si>
  <si>
    <t>More Duration Support
Support, Duration
Icon: D
Level: (1-20)
Cost &amp; Reservation Multiplier: 130%
Requires Level 31
Supports any skill with a duration.
Supported Skills have (30-39)% more Skill Effect Duration</t>
  </si>
  <si>
    <t>Multistrike Support
Attack, Melee, Support
Icon: 3
Level: (1-20)
Cost &amp; Reservation Multiplier: 150%
Requires Level 38
Supports melee attack skills, making them repeat twice when used, targeting a random enemy each time. Cannot support Vaal skills, channelling skills, travel skills, retaliation skills or triggered skills.
Supported Skills Repeat 2 additional times
Supported Skills have (35-44)% more Melee Attack Speed
Supported Skills deal (30-20)% less Attack Damage
First Repeat of Supported Skills deals 22% more Damage
Second Repeat of Supported Skills deals 44% more Damage</t>
  </si>
  <si>
    <t>Pulverise Support
AoE, Support, Melee, Attack
Icon: P
Level: (1-20)
Cost &amp; Reservation Multiplier: 130%
Requires Level 31
Supports melee attack skills.
Supported Skills have (25-34)% increased Area of Effect
Supported Skills have 15% less Attack Speed
Supported Skills deal (35-49)% more Melee Area Damage</t>
  </si>
  <si>
    <t>Ruthless Support
Slam, Support, Melee, Attack, Strike
Icon: u
Level: (1-20)
Cost &amp; Reservation Multiplier: 120%
Supports melee strike or slam skills. Every third time you use a supported attack, that use of the skill will be more powerful.
Every third Attack with Supported Melee Attacks deals a Ruthless Blow
Ruthless Blows with Supported Skills deal (70-98)% more Melee Damage
Ruthless Blows with Supported Skills deal (70-98)% more Damage with
Ailments caused by Melee Hits
Ruthless Blows with Supported Skills have a base Stun Duration of 0.8 seconds</t>
  </si>
  <si>
    <t>Shockwave Support
Support, Melee, Attack, AoE
Icon: s
Level: (1-20)
Cost &amp; Reservation Multiplier: 140%
Cooldown Time: 1.00 sec
Can Store (1-4) Use(s)
Requires Level 18
Supports melee attack skills. Cannot support triggered attacks, attacks used by things other than you, or skills which create minions.
Supported Skills will Trigger Shockwave on Melee Hit
Supported Skills can only be used with Maces, Sceptres or Staves
Base radius is (2.4-2.7) metres
(0-38)% increased Cooldown Recovery Rate</t>
  </si>
  <si>
    <t>Stun Support
Support
Icon: t
Level: (1-20)
Requires Level 8
Supports any skill that hits enemies, making it easier to stun enemies with those skills.
Supported Skills have (30-49)% reduced Enemy Stun Threshold</t>
  </si>
  <si>
    <t>Added Cold Damage Support
Cold, Support
Icon: C
Level: (1-20)
Cost &amp; Reservation Multiplier: 120%
Requires Level 8
Supports any skill that hits enemies.
Supported Skills have (4-152) to (6-228) added Cold Damag</t>
  </si>
  <si>
    <t>Additional Accuracy Support
Attack, Support
Icon: a
Level: (1-20)
Cost &amp; Reservation Multiplier: 110%
Requires Level 8
Supports attack skills.
Supported Skills have +(74-1034) to Accuracy Rating</t>
  </si>
  <si>
    <t>Barrage Support
Bow, Attack, Support, Projectile
Icon: N
Level: (1-20)
Cost &amp; Reservation Multiplier: 150%
Requires Level 38
Supports projectile attack skills that use bows or wands. Cannot support triggered skills, channelled skills, or skills that create Minions.
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t>
  </si>
  <si>
    <t>Chain Support
Support, Chaining, Projectile
Icon: c
Level: (1-20)
Cost &amp; Reservation Multiplier: 140%
Requires Level 38
Supports projectile skills, and any other skills that chain.
Supported Skills Chain +2 times
Supported Skills deal (30-11)% less Damage with Hits</t>
  </si>
  <si>
    <t>Chance to Poison Support
Chaos, Support
Icon: O
Level: (1-20)
Cost &amp; Reservation Multiplier: 120%
Supports any skill that hits enemies.
Supported Skills have 40% chance to Poison on Hit
Supported Skills have (1-94) to (2-141) added Chaos Damage</t>
  </si>
  <si>
    <t>Cold Penetration Support
Cold, Support
Icon: V
Level: (1-20)
Cost &amp; Reservation Multiplier: 130%
Requires Level 31
Supports any skill that hits enemies, making those hits penetrate enemy cold resistance.
Supported Skills Penetrate (20-34)% Cold Resistance</t>
  </si>
  <si>
    <t>Critical Strike Affliction Support
Critical, Support
Icon: o
Level: (1-20)
Cost &amp; Reservation Multiplier: 130%
Requires Level 31
Supports any skill that hits enemies.
Supported Skills have +(70-98)% Damage over Time Multiplier for Ailments from Critical Strikes</t>
  </si>
  <si>
    <t>Culling Strike Support
Support
Icon: X
Level: (1-20)
Cost &amp; Reservation Multiplier: 110%
Requires Level 18
Supports any skill that hits enemies. If enemies are left below 10% of maximum life after being hit by these skills, they will be killed.
Kill Enemies that have 10% Life or lower when Hit by Supported Skills
Supported Skills deal (0-38)% increased Damage</t>
  </si>
  <si>
    <t>Deadly Ailments Support
Support
Icon: i
Level: (1-20)
Cost &amp; Reservation Multiplier: 140%
Requires Level 18
Supports any skill that hits enemies.
Supported Skills deal (30-44)% more Damage with Ailments
Supported Skills deal 80% less Damage with Hits</t>
  </si>
  <si>
    <t>Faster Attacks Support
Attack, Support
Icon: A
Level: (1-20)
Cost &amp; Reservation Multiplier: 110%
Requires Level 8
Supports attack skills.
Supported Skills have (20-44)% increased Attack Speed</t>
  </si>
  <si>
    <t>Faster Projectiles Support
Support, Projectile
Icon: j
Level: (1-20)
Cost &amp; Reservation Multiplier: 120%
Requires Level 31
Supports projectile skills.
Supported Skills have (50-69)% increased Projectile Speed
Supported Skills deal (20-29)% increased Projectile Damage</t>
  </si>
  <si>
    <t>Fork Support
Support, Projectile
Icon: Y
Level: (1-20)
Cost &amp; Reservation Multiplier: 130%
Requires Level 31
Supports projectile skills, making their projectiles fork into two projectiles the first time they hit an enemy and don't pierce it.
Projectiles from Supported Skills Fork
Supported Skills deal (-10-9)% more Projectile Damage</t>
  </si>
  <si>
    <t>Greater Multiple Projectiles Support
Support, Projectile
Icon: P
Level: (1-20)
Cost &amp; Reservation Multiplier: 150%
Requires Level 38
Supports projectile skills.
Supported Skills deal (35-26)% less Projectile Damage
Supported Skills fire 4 additional Projectiles</t>
  </si>
  <si>
    <r>
      <t xml:space="preserve">Greater Volley Support
Support, Projectile
Icon: </t>
    </r>
    <r>
      <rPr>
        <sz val="11"/>
        <color theme="1"/>
        <rFont val="Cambria Math"/>
        <family val="2"/>
      </rPr>
      <t>≣</t>
    </r>
    <r>
      <rPr>
        <sz val="11"/>
        <color theme="1"/>
        <rFont val="Calibri"/>
        <family val="2"/>
        <scheme val="minor"/>
      </rPr>
      <t xml:space="preserve">
Level: (1-20)
Cost &amp; Reservation Multiplier: 150%
Requires Level 38
Supports skills that fire projectiles from the user. Does not affect projectiles fired from other locations as secondary effects. Does not support skills that fire projectiles in a spiral.
Supported Skills fire 4 additional Projectiles
Supported Skills also fire Projectiles from up to 4 points on each side of you
Supported Skills deal (30-21)% less Projectile Damage</t>
    </r>
  </si>
  <si>
    <t>Hypothermia Support
Cold, Support
Icon: D
Level: (1-20)
Cost &amp; Reservation Multiplier: 130%
Requires Level 31
Supports any skill that deals damage.
Supported Skills have +20% chance to Freeze Enemies which are Chilled
Supported Skills deal (20-29)% more Cold Damage Over Time
Supported Skills deal (20-29)% more Damage with Hits and Ailments against Chilled Enemies</t>
  </si>
  <si>
    <t>Impale Support
Attack, Physical, Support
Icon: I
Level: (1-20)
Cost &amp; Reservation Multiplier: 130%
Requires Level 31
Supports attack skills.
Supported Attacks have 60% chance to Impale Enemies on Hit
Supported Attacks have (0-28)% increased Impale Effect</t>
  </si>
  <si>
    <t>Mirage Archer Support
Bow, Attack, Support, Duration
Icon: M
Level: (1-20)
Cost &amp; Reservation Multiplier: 130%
Requires Level 4
Supports attack skills that can be used with bows. Supported skills can only be used with bows. Cannot support Vaal skills, minion skills, movement skills, or skills used by totems, traps, or mines.
Maximum 1 Summoned Mirage Archer
When you Hit an Enemy with an Arrow from a Supported Skill, Summon a Mirage Archer which uses that Skill
Mirage Archer can use Triggered Attacks as though they were not Triggered
Mirage Archer uses Supported Skill with 60% less Attack Speed
Mirage Archer lasts 4 seconds
Mirage Archer deals (40-31)% less Damage with Supported Skills</t>
  </si>
  <si>
    <t>Multiple Projectiles Support
Support, Projectile
Icon: l
Level: (1-20)
Cost &amp; Reservation Multiplier: 130%
Requires Level 8
Supports projectile skills.
Supported Skills deal (15-6)% less Projectile Damage
Supported Skills fire 2 additional Projectiles</t>
  </si>
  <si>
    <t>Pierce Support
Support, Projectile
Icon: p
Level: (1-20)
Cost &amp; Reservation Multiplier: 120%
Requires Level 4
Supports projectile skills.
Projectiles from Supported Skills Pierce (2-4) additional Targets
Supported Skills deal (0-19)% more Projectile Damage</t>
  </si>
  <si>
    <t>Returning Projectiles Support
Support, Projectile
Icon: R
Level: (1-20)
Cost &amp; Reservation Multiplier: 150%
Requires Level 38
Supports projectile skills.
Projectiles from Supported Skills Return to you
Projectiles from Supported Skills deal (70-66)% less Damage with Hits and Ailments while Returning
Projectiles from Supported Skills Pierce all Targets while Returning</t>
  </si>
  <si>
    <t>Slower Projectiles Support
Support, Projectile
Icon: J
Level: (1-20)
Cost &amp; Reservation Multiplier: 120%
Requires Level 31
Supports projectile skills.
Supported Skills have (20-30)% less Projectile Speed
Supported Skills deal (10-19)% more Projectile Damage</t>
  </si>
  <si>
    <t>Swift Affliction Support
Support, Duration
Icon: r
Level: (1-20)
Cost &amp; Reservation Multiplier: 140%
Requires Level 31
Supports any skill that has a duration, or can hit enemies to inflict ailments on them.
Supported Skills deal (25-39)% more Damage over Time
25% less Duration of Supported Skills and Damaging Ailments they inflict</t>
  </si>
  <si>
    <t>Vicious Projectiles Support
Projectile, Attack, Physical, Chaos, Support
Icon: d
Level: (1-20)
Cost &amp; Reservation Multiplier: 130%
Requires Level 18
Supports projectile attack skills.
Supported Skills deal (30-49)% more Chaos Damage over Time
Supported Skills deal (30-49)% more Physical Damage over Time
Supported Skills deal (30-49)% more Physical Projectile Attack Damage
Supported Skills have 10% less Projectile Attack Speed</t>
  </si>
  <si>
    <t>Vile Toxins Support
Support
Icon: e
Level: (1-20)
Cost &amp; Reservation Multiplier: 130%
Requires Level 38
Supports any skill that hits enemies.
Supported Skills deal 5% more Damage with Hits for each Poison on the Enemy, up to (5-8)
Supported Skills deal (10-19)% more Damage with Poison</t>
  </si>
  <si>
    <t>Void Manipulation Support
Chaos, Support
Icon: v
Level: (1-20)
Cost &amp; Reservation Multiplier: 130%
Requires Level 8
Supports any skill that deals damage.
Supported Skills deal (20-34)% more Chaos Damage
Supported Skills deal no Elemental Damage</t>
  </si>
  <si>
    <t>Volley Support
Support, Projectile
Icon: =
Level: (1-20)
Cost &amp; Reservation Multiplier: 130%
Requires Level 4
Supports skills that fire projectiles from the user. Does not affect projectiles fired from other locations as secondary effects. Does not support skills that fire projectiles in a spiral.
Supported Skills fire 2 additional Projectiles
Supported Skills also fire Projectiles from up to 2 points on each side of you
Supported Skills deal (12-3)% less Projectile Damage</t>
  </si>
  <si>
    <t>Added Chaos Damage Support
Chaos, Support
Icon: H
Level: (1-20)
Cost &amp; Reservation Multiplier: 120%
Requires Level 31
Supports any skill that hits enemies.
Supported Skills have (18-154) to (26-231) added Chaos Damage</t>
  </si>
  <si>
    <t>Added Lightning Damage Support
Lightning, Support
Icon: L
Level: (1-20)
Cost &amp; Reservation Multiplier: 120%
Requires Level 8
Supports any skill that hits enemies.
Supported Skills have (1-19) to (8-358) added Lightning Damage</t>
  </si>
  <si>
    <t>Bonechill Support
Cold, Support
Icon: B
Level: (1-20)
Cost &amp; Reservation Multiplier: 130%
Requires Level 38
Supports any skill that can chill enemies or create chilling areas.
(25-44)% increased Effect of Chill inflicted with Supported Skills
Enemies Chilled by Supported Skills increase Cold Damage taken by Chill Effect
Enemies in Chilling Areas from Supported Skills increase Cold Damage taken by Chill Effect
Supported Skills deal (5-14)% more Cold Damage</t>
  </si>
  <si>
    <t>Combustion Support
Fire, Support
Icon: i
Level: (1-20)
Cost &amp; Reservation Multiplier: 130%
Requires Level 8
Supports any skill that hits enemies.
Supported Skills deal (10-19)% more Fire Damage
Supported Skills have 25% chance to Ignite
Enemies Ignited by Supported Skills have -10% to Fire Resistance</t>
  </si>
  <si>
    <t>Concentrated Effect Support
Support, AoE
Icon: o
Level: (1-20)
Cost &amp; Reservation Multiplier: 140%
Requires Level 18
Supports any skill with an area of effect, regardless of whether that skill deals damage.
Supported Skills deal (25-39)% more Area Damage
Supported Skills have 30% less Area of Effect</t>
  </si>
  <si>
    <t>Controlled Destruction Support
Spell, Critical, Support
Icon: C
Level: (1-20)
Cost &amp; Reservation Multiplier: 140%
Requires Level 18
Supports attack skills, or spell skills that deal damage.
Supported Skills have 80% less Critical Strike Chance
Supported Skills deal (25-39)% more Spell Damage</t>
  </si>
  <si>
    <t>Efficacy Support
Support, Duration
Icon: a
Level: (1-20)
Cost &amp; Reservation Multiplier: 130%
Requires Level 8
Supports any skill that deals damage or has a duration.
Supported Skills deal (15-24)% more Damage over Time
Supported Skills have (15-24)% increased Skill Effect Duration</t>
  </si>
  <si>
    <t>Elemental Focus Support
Support
Icon: F
Level: (1-20)
Cost &amp; Reservation Multiplier: 130%
Requires Level 18
Supports any skill that hits or burns enemies, or inflicts elemental ailments.
Supported Skills deal (20-34)% more Elemental Damage
Supported Skills cannot inflict Elemental Ailments</t>
  </si>
  <si>
    <t>Elemental Proliferation Support
Cold, Fire, Lightning, Support, AoE
Icon: S
Level: (1-20)
Cost &amp; Reservation Multiplier: 110%
Supports any skill that hits enemies, or could otherwise apply elemental ailments.
(0-19)% increased Duration of Elemental Ailments on Enemies
Elemental Ailments inflicted by Supported Skills spread to other enemies within (1.2-1.5) metres
Supported Skills have 20% chance to Freeze, Shock and Ignite</t>
  </si>
  <si>
    <t>Faster Casting Support
Support, Spell
Icon: f
Level: (1-20)
Cost &amp; Reservation Multiplier: 110%
Requires Level 18
Supports non-instant spell skills.
Supported Skills have (20-39)% increased Cast Speed</t>
  </si>
  <si>
    <t>Ignite Proliferation Support
Fire, Support, AoE
Icon: I
Level: (1-20)
Cost &amp; Reservation Multiplier: 130%
Requires Level 38
Supports any skill that hits enemies.
Ignites caused by Supported Skills spread to other Enemies within (1.4-2) metres
Supported Skills deal (15-24)% more Damage with Ignite</t>
  </si>
  <si>
    <t>Increased Area of Effect Support
Support, AoE
Icon: E
Level: (1-20)
Cost &amp; Reservation Multiplier: 130%
Requires Level 38
Supports any skill with an area of effect.
Supported Skills have (30-49)% increased Area of Effect</t>
  </si>
  <si>
    <t>Increased Critical Damage Support
Critical, Support
Icon: c
Level: (1-20)
Cost &amp; Reservation Multiplier: 130%
Requires Level 18
Supports any skill that hits enemies.
Supported Skills have +(100-138)% to Critical Strike Multiplier</t>
  </si>
  <si>
    <t>Increased Critical Strikes Support
Critical, Support
Icon: s
Level: (1-20)
Cost &amp; Reservation Multiplier: 120%
Requires Level 8
Supports any skill that hits enemies.
Supported Skills have (60-117)% increased Critical Strike Chance
Supported Skills have +2% to Critical Strike Chance</t>
  </si>
  <si>
    <t>Infused Channelling Support
Support, Channelling
Icon: b
Level: (1-20)
Cost &amp; Reservation Multiplier: 130%
Requires Level 4
Supports any channelling skill, protecting you from damage while you channel it. Cannot modify the skills of minions.
Supported Skills deal (20-29)% more Damage
While Channelling a Supported Skill, take 12% less Damage from Hits</t>
  </si>
  <si>
    <t>Lightning Penetration Support
Lightning, Support
Icon: V
Level: (1-20)
Cost &amp; Reservation Multiplier: 130%
Requires Level 31
Supports any skill that hits enemies, making those hits penetrate enemy lightning resistance.
Supported Skills Penetrate (20-34)% Lightning Resistance</t>
  </si>
  <si>
    <t>Minion Damage Support
Support, Minion
Icon: d
Level: (1-20)
Cost &amp; Reservation Multiplier: 140%
Requires Level 8
Supports skills which create Minions.
Minions from Supported Skills deal (25-39)% more Damage
Minions from Supported Skills have 25% less Maximum Life</t>
  </si>
  <si>
    <t>Minion Speed Support
Movement, Support, Minion
Icon: e
Level: (1-20)
Cost &amp; Reservation Multiplier: 120%
Requires Level 18
Supports skills which create Minions.
Supported Skills have (25-34)% increased Minion Attack Speed
Supported Skills have (25-34)% increased Minion Cast Speed
Supported Skills have (25-44)% increased Minion Movement Speed</t>
  </si>
  <si>
    <t>Physical to Lightning Support
Lightning, Physical, Support
Icon: x
Level: (1-20)
Cost &amp; Reservation Multiplier: 120%
Requires Level 18
Supports any skill that hits enemies.
Supported Skills gain (10-29)% of Physical Damage as Extra Lightning Damage
Supported Skills have 50% of Physical Damage Converted to Lightning Damage</t>
  </si>
  <si>
    <t>Spell Cascade Support
AoE, Spell, Support
Icon: p
Level: (1-20)
Cost &amp; Reservation Multiplier: 130%
Requires Level 4
Supports spell skills that apply an effect to an area around a targeted location. Cannot support Vaal skills or skills used by totems, traps, or mines. Cannot modify the skills of minions.
Supported Skills have (25-16)% less Area of Effect
Supported Skills deal (40-31)% less Damage
Supported Area of Effect Skills also affect areas in front of and behind the targeted area</t>
  </si>
  <si>
    <t>Spell Echo Support
Spell, Support
Icon: k
Level: (1-20)
Cost &amp; Reservation Multiplier: 140%
Requires Level 38
Supports spell skills, making them repeat when cast. Cannot support Vaal skills, totem skills, channelling skills, triggered skills, instant skills, retaliation skills, blink skills, or skills with a reservation.
Supported Skills Repeat an additional time
Supported Skills have (40-54)% more Cast Speed</t>
  </si>
  <si>
    <t>Trinity Support
Support
Icon: y
Level: (1-20)
Cost &amp; Reservation Multiplier: 140%
Requires Level 18
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
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t>
  </si>
  <si>
    <t>Unleash Support
Spell, Support
Icon: q
Level: (1-20)
Cost &amp; Reservation Multiplier: 140%
Requires Level 38
Supports spell skills, making their effect reoccur when cast. Cannot support skills with cooldowns, triggered skills, Brand skills, Vaal skills, channelling skills, skills with a reservation, or skills used by totems, traps, or mines. Cannot modify the skills of minions.
Supported Spells gain a Seal every (0.90-0.71) seconds, to a maximum of 3 Seals
Supported Spells are Unsealed when cast, and their effects Reoccur for each Seal lost
Supported Skills deal (45-36)% less Damage when Reoccurring</t>
  </si>
  <si>
    <t>SourceSheet</t>
  </si>
  <si>
    <t>SourceCell</t>
  </si>
  <si>
    <t>GemType</t>
  </si>
  <si>
    <t>Name</t>
  </si>
  <si>
    <t>Tags</t>
  </si>
  <si>
    <t>DamageType</t>
  </si>
  <si>
    <t>Scaling</t>
  </si>
  <si>
    <t>MechanicTags</t>
  </si>
  <si>
    <t>CombatRole</t>
  </si>
  <si>
    <t>AilmentKeywords</t>
  </si>
  <si>
    <t>Level</t>
  </si>
  <si>
    <t>Cost</t>
  </si>
  <si>
    <t>Reservation</t>
  </si>
  <si>
    <t>CostReservationMultiplier</t>
  </si>
  <si>
    <t>CooldownTime</t>
  </si>
  <si>
    <t>CanStoreUses</t>
  </si>
  <si>
    <t>CastTime</t>
  </si>
  <si>
    <t>RequiresLevel</t>
  </si>
  <si>
    <t>AttackSpeed</t>
  </si>
  <si>
    <t>AttackDamage</t>
  </si>
  <si>
    <t>EffectivenessAddedDamage</t>
  </si>
  <si>
    <t>AoERadius</t>
  </si>
  <si>
    <t>ProjectileSpeed</t>
  </si>
  <si>
    <t>Icon</t>
  </si>
  <si>
    <t>Description</t>
  </si>
  <si>
    <t>ModifierLines</t>
  </si>
  <si>
    <t>RawText</t>
  </si>
  <si>
    <t>SKILL</t>
  </si>
  <si>
    <t>A2</t>
  </si>
  <si>
    <t>Active</t>
  </si>
  <si>
    <t>Anger</t>
  </si>
  <si>
    <t>Aura, Spell, AoE, Fire</t>
  </si>
  <si>
    <t>Fire</t>
  </si>
  <si>
    <t>Spell</t>
  </si>
  <si>
    <t>Aura, AoE</t>
  </si>
  <si>
    <t>Buff/Aura, Area</t>
  </si>
  <si>
    <t>(1-20)</t>
  </si>
  <si>
    <t>50% Mana</t>
  </si>
  <si>
    <t>1.20 sec</t>
  </si>
  <si>
    <t>1 Use(s)</t>
  </si>
  <si>
    <t>Instant</t>
  </si>
  <si>
    <t>24</t>
  </si>
  <si>
    <t>Casts an aura that adds fire damage to the attacks and spells of you and your allies.</t>
  </si>
  <si>
    <t>+(0-1.9) metres to radius
You and nearby allies deal (16-109) to (23-155) additional Fire Damage with Attacks
You and nearby allies deal (16-109) to (23-155) additional Fire Damage with Spells</t>
  </si>
  <si>
    <t>B2</t>
  </si>
  <si>
    <t>Earthquake</t>
  </si>
  <si>
    <t>Attack, AoE, Melee, Duration, Slam</t>
  </si>
  <si>
    <t>Attack, Melee</t>
  </si>
  <si>
    <t>AoE, Melee, Slam</t>
  </si>
  <si>
    <t>Area, Duration/DoT</t>
  </si>
  <si>
    <t>Shock</t>
  </si>
  <si>
    <t>(10-13) Mana</t>
  </si>
  <si>
    <t>28</t>
  </si>
  <si>
    <t>75% of base</t>
  </si>
  <si>
    <t>(143-229)% of base</t>
  </si>
  <si>
    <t>(143-229)%</t>
  </si>
  <si>
    <t>18 / 28</t>
  </si>
  <si>
    <t>Smashes the ground, dealing damage in an area and cracking the earth. The crack will erupt in a powerful aftershock after a duration. Cracks created before the first one has erupted will not generate their own aftershocks. Requires an Axe, Mace, Sceptre, Staff or Unarmed.</t>
  </si>
  <si>
    <t>Base duration is 1.00 second
Aftershock deals 150% more Damage with Hits and Ailments</t>
  </si>
  <si>
    <t>C2</t>
  </si>
  <si>
    <t>Exsanguinate</t>
  </si>
  <si>
    <t>Spell, Chaining, Physical, Duration</t>
  </si>
  <si>
    <t>Physical</t>
  </si>
  <si>
    <t>Chaining</t>
  </si>
  <si>
    <t>Duration/DoT, Chain</t>
  </si>
  <si>
    <t>(16-46) Life</t>
  </si>
  <si>
    <t>0.80 sec</t>
  </si>
  <si>
    <t>12</t>
  </si>
  <si>
    <t>(150-270)%</t>
  </si>
  <si>
    <t>Critical Strike Chance: 6.00% Releases several tendrils of blood from your character, targeting enemies in a narrow angle in front of you. The beams deal physical damage and inflict a physical damage over time debuff to enemies, which can stack up to 3 times. Effects which allow skills to chain can apply to these tendrils.</t>
  </si>
  <si>
    <t>Deals (17-1193) to (25-1789) Physical Damage
Deals (26.9-1534.2) Base Physical Damage per second
Base duration is 1.00 second
Modifiers to Spell Damage apply to this Skill's Damage Over Time effect
Fires tendrils at up to (7-9) Targets</t>
  </si>
  <si>
    <t>D2</t>
  </si>
  <si>
    <t>Ground Slam</t>
  </si>
  <si>
    <t>Attack, AoE, Melee, Slam</t>
  </si>
  <si>
    <t>Area</t>
  </si>
  <si>
    <t>Stun</t>
  </si>
  <si>
    <t>(6-11) Mana</t>
  </si>
  <si>
    <t>90% of base</t>
  </si>
  <si>
    <t>(132-356)% of base</t>
  </si>
  <si>
    <t>(132-356)%</t>
  </si>
  <si>
    <t>35</t>
  </si>
  <si>
    <t>Slams the ground in front of you, creating a wave that travels forward and damages enemies with an increased chance to stun. The wave deals more damage to closer enemies. Requires an Axe, Mace, Sceptre, Staff or Unarmed.</t>
  </si>
  <si>
    <t>25% reduced Enemy Stun Threshold
+(0-1) metre to radius
Deals up to (40-49)% more Damage with Hits to closer targets</t>
  </si>
  <si>
    <t>E2</t>
  </si>
  <si>
    <t>Herald of Ash</t>
  </si>
  <si>
    <t>Spell, AoE, Fire, Herald, Duration</t>
  </si>
  <si>
    <t>AoE, Herald</t>
  </si>
  <si>
    <t>Buff/Aura, Area, Duration/DoT</t>
  </si>
  <si>
    <t>25% Mana</t>
  </si>
  <si>
    <t>1.00 sec</t>
  </si>
  <si>
    <t>16</t>
  </si>
  <si>
    <t>10</t>
  </si>
  <si>
    <t>Base Burning Damage is 25% of Overkill Damage Buff grants (15-20)% of your Physical Damage as Extra Fire Damage</t>
  </si>
  <si>
    <t>Grants a buff providing fire damage based on your physical damage. While you have this buff, if you kill an enemy, other enemies near them will be burned based on the overkill damage. The burn inflicted by this skill can only be affected by modifiers to damage over time (burning damage is damage over time).
Base duration is 4.00 seconds
(0-38)% more Burning Damage</t>
  </si>
  <si>
    <t>F2</t>
  </si>
  <si>
    <t>Molten Strike</t>
  </si>
  <si>
    <t>Attack, Projectile, AoE, Melee, Strike, Fire</t>
  </si>
  <si>
    <t>Projectile, AoE, Melee, Strike</t>
  </si>
  <si>
    <t>Projectile, Area</t>
  </si>
  <si>
    <t>(6-10) Mana</t>
  </si>
  <si>
    <t>(126-329)% of base</t>
  </si>
  <si>
    <t>(126-329)%</t>
  </si>
  <si>
    <t>750</t>
  </si>
  <si>
    <t>Infuses your melee weapon with molten energies to attack with physical and fire damage. This attack causes balls of molten magma to launch forth from the enemies you hit, divided amongst all enemies hit by the strike. These will deal area attack damage to enemies where they land.</t>
  </si>
  <si>
    <t>Fires 4 Projectiles
60% of Physical Damage Converted to Fire Damage
Projectiles deal 60% less Damage with Hits and Ailments</t>
  </si>
  <si>
    <t>G2</t>
  </si>
  <si>
    <t>Pride</t>
  </si>
  <si>
    <t>Spell, AoE, Aura, Physical</t>
  </si>
  <si>
    <t>AoE, Aura</t>
  </si>
  <si>
    <t>Casts an aura that causes nearby enemies to take more physical damage. raising up to (30-39)% as they stay in the Aura for 4 seconds</t>
  </si>
  <si>
    <t>+(0-1) metre to radius
Nearby Enemies take at least (15-19)% more Physical Damage,</t>
  </si>
  <si>
    <t>H2</t>
  </si>
  <si>
    <t>Reap</t>
  </si>
  <si>
    <t>Spell, Physical, AoE, Duration</t>
  </si>
  <si>
    <t>AoE</t>
  </si>
  <si>
    <t>(25-46) Life</t>
  </si>
  <si>
    <t>(150-210)%</t>
  </si>
  <si>
    <t>Critical Strike Chance: 6.00% A bloody scythe swipes across a selected area, applying a physical damage over time debuff and hitting enemies with physical damage. If any survive, you gain a blood charge which raises the damage and cost of the skill. Players can have 5 maximum blood charges. Gain a Blood Charge if this Skill Hits Enemies and none of them Die Lose a Blood Charge when an Enemy Dies while affected by this Skill's Debuff</t>
  </si>
  <si>
    <t>Deals (57-943) to (86-1414) Physical Damage
Deals (138.2-2002.5) Base Physical Damage per second
Base duration is 1.00 second
Modifiers to Spell Damage apply to this Skill's Damage Over Time effect
Costs 20% more Life per Blood Charge
Deals 15% more Damage per Blood Charge</t>
  </si>
  <si>
    <t>I2</t>
  </si>
  <si>
    <t>Smite</t>
  </si>
  <si>
    <t>Lightning, Melee, Attack, AoE, Duration, Strike, Aura</t>
  </si>
  <si>
    <t>Lightning</t>
  </si>
  <si>
    <t>Melee, AoE, Strike, Aura</t>
  </si>
  <si>
    <t>(7-12) Mana</t>
  </si>
  <si>
    <t>85% of base</t>
  </si>
  <si>
    <t>(225-488)% of base</t>
  </si>
  <si>
    <t>(225-488)%</t>
  </si>
  <si>
    <t>Performs a melee attack, and causes lightning to strike a nearby enemy, dealing damage in an area. Each target can only be hit once by this skill. Hitting an enemy grants an aura for a duration. Requires a Sword, Axe, Mace, Sceptre, Staff or Unarmed.</t>
  </si>
  <si>
    <t>50% of Physical Damage Converted to Lightning Damage
Base duration is 4.00 seconds
(30-20)% less Area Damage
Base radius is (1.5-2.1) metres
Base Aura radius is (3.6-4.2) metres
Lightning strikes 1 target within 5 metres
Aura grants (1-12) to (4-220) added Lightning Damage
Aura grants (10-19)% chance to Shock</t>
  </si>
  <si>
    <t>J2</t>
  </si>
  <si>
    <t>Summon Stone Golem</t>
  </si>
  <si>
    <t>Minion, Spell, Golem, Physical</t>
  </si>
  <si>
    <t>Spell, Minion</t>
  </si>
  <si>
    <t>Minion</t>
  </si>
  <si>
    <t>Summon</t>
  </si>
  <si>
    <t>(30-54) Mana</t>
  </si>
  <si>
    <t>6.00 sec</t>
  </si>
  <si>
    <t>34</t>
  </si>
  <si>
    <t>Golems grant (33-105) Life Regenerated per second</t>
  </si>
  <si>
    <t>Summons a Stone Golem that grants you life regeneration and defences. In addition to its melee attack, the Stone Golem uses a rolling charge and a powerful slam that can taunt enemies.
Maximum 1 Summoned Golem
Golems grant 20% increased Defences</t>
  </si>
  <si>
    <t>K2</t>
  </si>
  <si>
    <t>Swordstorm</t>
  </si>
  <si>
    <t>Attack, Melee, AoE, Retaliation</t>
  </si>
  <si>
    <t>Melee, AoE, Retaliation</t>
  </si>
  <si>
    <t>(7-10) Mana</t>
  </si>
  <si>
    <t>3.00 sec</t>
  </si>
  <si>
    <t>(123-247)% of base</t>
  </si>
  <si>
    <t>(123-247)%</t>
  </si>
  <si>
    <t>Retaliate against a blocked hit with a hail of blades that rains down in front of you, repeatedly dealing the damage of both your weapons combined. Requires Dual Wielding Melee Weapons.</t>
  </si>
  <si>
    <t>Cannot be used by default
Becomes Usable once for 2 seconds when you Block a Hit
Can't be Evaded
Base radius is (1.8-2.3) metres
Damages Enemies 8 times</t>
  </si>
  <si>
    <t>L2</t>
  </si>
  <si>
    <t>Volcanic Fissure</t>
  </si>
  <si>
    <t>Melee, Attack, Projectile, AoE, Slam, Fire</t>
  </si>
  <si>
    <t>Melee, Projectile, AoE, Slam</t>
  </si>
  <si>
    <t>(8-13) Mana</t>
  </si>
  <si>
    <t>80% of base</t>
  </si>
  <si>
    <t>(177-344)% of base</t>
  </si>
  <si>
    <t>(177-344)%</t>
  </si>
  <si>
    <t>Slam the ground, creating a winding fissure that deals area damage while travelling outwards. When it reaches the target location it erupts, releasing a burst of molten projectiles. Requires an Axe, Mace, Sceptre, Staff or Unarmed.</t>
  </si>
  <si>
    <t>Fires 5 Projectiles
60% of Physical Damage Converted to Fire Damage
Projectiles deal 50% less Damage with Hits and Ailments</t>
  </si>
  <si>
    <t>Volcanic Fissure
Melee, Attack, Projectile, AoE, Slam, Fire
Level: (1-20)
Cost: (8-13) Mana
Attack Speed: 80% of base
Attack Damage: (177-344)% of base
Effectiveness of Added Damage: (177-344)%
Requires Level 12
Slam the ground, creating a winding fissure that deals area damage while travelling outwards. When it reaches the target location it erupts, releasing a burst of molten projectiles. Requires an Axe, Mace, Sceptre, Staff or Unarmed.
Fires 5 Projectiles
60% of Physical Damage Converted to Fire Damage
Projectiles deal 50% less Damage with Hits and Ailments</t>
  </si>
  <si>
    <t>A4</t>
  </si>
  <si>
    <t>Animate Weapon</t>
  </si>
  <si>
    <t>Duration, Minion, Spell, Physical</t>
  </si>
  <si>
    <t>Summon, Duration/DoT</t>
  </si>
  <si>
    <t>(4-16) Mana</t>
  </si>
  <si>
    <t>0.60 sec</t>
  </si>
  <si>
    <t>4</t>
  </si>
  <si>
    <t>Animates a Melee Weapon Item or Lingering Blade to fight by your side. You cannot animate unidentified Weapons. Will not animate weapons with 6 sockets. Cannot be used by Traps or Mines. Minions' Attacks deal (5-126) to (8-184) additional Physical Damage Animated Lingering Blades deal (1-17) to (2-80) Added Attack Physical Damage</t>
  </si>
  <si>
    <t>Base duration is 40.00 seconds
Maximum (5-14) Animated Weapons
Can use Items requiring up to Level (9-100)
Minions deal (0-38)% more Damage
Minions have (0-38)% more Attack Speed</t>
  </si>
  <si>
    <t>B4</t>
  </si>
  <si>
    <t>Barrage</t>
  </si>
  <si>
    <t>Attack, Projectile, Bow</t>
  </si>
  <si>
    <t>Attack, Bow</t>
  </si>
  <si>
    <t>Projectile, Bow</t>
  </si>
  <si>
    <t>Projectile</t>
  </si>
  <si>
    <t>(5-9) Mana</t>
  </si>
  <si>
    <t>115% of base</t>
  </si>
  <si>
    <t>(47-54)% of base</t>
  </si>
  <si>
    <t>(47-55)%</t>
  </si>
  <si>
    <t>After a short preparation time, you fire individual projectiles repeatedly with a Bow or Wand. These projectiles have a small randomised spread. This skill cannot be Triggered.</t>
  </si>
  <si>
    <t>Fires 5 Projectiles
Fires Projectiles sequentially</t>
  </si>
  <si>
    <t>C4</t>
  </si>
  <si>
    <t>Blade Vortex</t>
  </si>
  <si>
    <t>Spell, AoE, Duration, Physical</t>
  </si>
  <si>
    <t>(6-16) Mana</t>
  </si>
  <si>
    <t>0.50 sec</t>
  </si>
  <si>
    <t>30%</t>
  </si>
  <si>
    <t>Critical Strike Chance: 6.00% This spell creates ethereal blades which orbit in an area around you, dealing damage every 0.6 seconds to all enemies in their radius. As more blades are added, the damage becomes greater and more frequent.</t>
  </si>
  <si>
    <t>Deals (3-140) to (5-211) Physical Damage
Base duration is 4.00 seconds
+(0-0.2) metres to radius
35% increased Hit Rate for each blade
35% more Damage for each blade
Can have up to 10 active spinning blades</t>
  </si>
  <si>
    <t>D4</t>
  </si>
  <si>
    <t>Blast Rain</t>
  </si>
  <si>
    <t>Fire, Attack, AoE, Projectile, Bow</t>
  </si>
  <si>
    <t>AoE, Projectile, Bow</t>
  </si>
  <si>
    <t>(30-35)% of base</t>
  </si>
  <si>
    <t>(30-36)%</t>
  </si>
  <si>
    <t>100% of Physical Damage Converted to Fire Damage</t>
  </si>
  <si>
    <t>Fires arrows up in the air, to rain down in an area. Each arrow deals area damage around where it lands, and they will all overlap on the targeted location.
Fires 6 Arrows
Penetrates (20-30)% Fire Resistance</t>
  </si>
  <si>
    <t>E4</t>
  </si>
  <si>
    <t>Burning Arrow</t>
  </si>
  <si>
    <t>Attack, Projectile, Fire, Bow</t>
  </si>
  <si>
    <t>Ignite</t>
  </si>
  <si>
    <t>(8-14) Mana</t>
  </si>
  <si>
    <t>70% of base</t>
  </si>
  <si>
    <t>(280-420)% of base</t>
  </si>
  <si>
    <t>(280-420)%</t>
  </si>
  <si>
    <t>3260</t>
  </si>
  <si>
    <t>25% chance to Ignite enemies</t>
  </si>
  <si>
    <t>Fires a burning arrow that deals fire damage and has a chance to ignite.
100% of Physical Damage Converted to Fire Damage</t>
  </si>
  <si>
    <t>Burning Arrow
Attack, Projectile, Fire, Bow
Level: (1-20)
Cost: (8-14) Mana
Attack Speed: 70% of base
Attack Damage: (280-420)% of base
Effectiveness of Added Damage: (280-420)%
Projectile Speed: 3260
Fires a burning arrow that deals fire damage and has a chance to ignite.
25% chance to Ignite enemies
100% of Physical Damage Converted to Fire Damage</t>
  </si>
  <si>
    <t>F4</t>
  </si>
  <si>
    <t>Cobra Lash</t>
  </si>
  <si>
    <t>Attack, Projectile, Chaos</t>
  </si>
  <si>
    <t>Chaos</t>
  </si>
  <si>
    <t>Attack</t>
  </si>
  <si>
    <t>Projectile, Chain</t>
  </si>
  <si>
    <t>Poison</t>
  </si>
  <si>
    <t>(5-8) Mana</t>
  </si>
  <si>
    <t>120% of base</t>
  </si>
  <si>
    <t>(125-205)% of base</t>
  </si>
  <si>
    <t>(125-205)%</t>
  </si>
  <si>
    <t>8% more Damage with Hits and Ailments for each remaining Chain</t>
  </si>
  <si>
    <t>Fires a poisonous projectile based on your weapon that will chain between enemies. Requires a Dagger or Claw.
Chains +(3-5) Times
60% of Physical Damage Converted to Chaos Damage
40% chance to Poison on Hit</t>
  </si>
  <si>
    <t>G4</t>
  </si>
  <si>
    <t>Cyclone</t>
  </si>
  <si>
    <t>Attack, AoE, Melee, Movement, Channelling</t>
  </si>
  <si>
    <t>AoE, Melee, Movement, Channelling</t>
  </si>
  <si>
    <t>Area, Channel</t>
  </si>
  <si>
    <t>(2-3) Mana</t>
  </si>
  <si>
    <t>300% of base</t>
  </si>
  <si>
    <t>(81-150)% of base</t>
  </si>
  <si>
    <t>(81-150)%</t>
  </si>
  <si>
    <t>1.6</t>
  </si>
  <si>
    <t>Channel this skill to move towards a targeted location while spinning constantly attacking enemies in an area around you. While channelling this skill, you cannot be knocked back. 15% increased Area of Effect per 0.1 metre additional Melee Strike Range</t>
  </si>
  <si>
    <t>(30-20)% less Movement Speed</t>
  </si>
  <si>
    <t>H4</t>
  </si>
  <si>
    <t>Detonate Dead</t>
  </si>
  <si>
    <t>Spell, AoE, Fire</t>
  </si>
  <si>
    <t>(5-20) Mana</t>
  </si>
  <si>
    <t>160%</t>
  </si>
  <si>
    <t>22</t>
  </si>
  <si>
    <t>Critical Strike Chance: 6.00% Targets a corpse, and deals spell damage to enemies around the corpse, as well as causing the corpse to explode, dealing fire damage. The explosion is not affected by modifiers to spell damage and cannot be reflected. Explosion deals base Fire Damage equal to (6-7.9)% of the corpse's Maximum Life</t>
  </si>
  <si>
    <t>Deals (15-798) to (22-1197) Fire Damage
Base radius is (2.2-2.6) metres</t>
  </si>
  <si>
    <t>I4</t>
  </si>
  <si>
    <t>Explosive Arrow</t>
  </si>
  <si>
    <t>Attack, Projectile, AoE, Duration, Fire, Bow</t>
  </si>
  <si>
    <t>Projectile, AoE, Bow</t>
  </si>
  <si>
    <t>Projectile, Area, Duration/DoT</t>
  </si>
  <si>
    <t>15</t>
  </si>
  <si>
    <t>Explosion deals 50% less Base Damage Explosion deals 6% more Damage with Hits per Explosive Arrow on Target Explosion deals 3% more Damage with Ailments per Explosive Arrow on Target</t>
  </si>
  <si>
    <t>Fires an arrow which will stick into an enemy or wall, and then explode, dealing area damage around it, either after a duration or when the maximum number of arrows stuck to that target is reached. If an enemy has multiple Explosive Arrows stuck in them, the first one to explode will consume the others, adding their damage to its explosion.
Base duration is 1.00 second
Explosion will have (47-522) to (71-783) added Fire Damage
+0.2 metres to Explosion Radius per Explosive Arrow on Target, up to a maximum of +1.2 metres
Maximum 20 Explosive Arrows stuck in an Enemy</t>
  </si>
  <si>
    <t>J4</t>
  </si>
  <si>
    <t>Explosive Concoction</t>
  </si>
  <si>
    <t>Attack, AoE, Fire, Cold, Lightning, Projectile</t>
  </si>
  <si>
    <t>Fire, Cold, Lightning</t>
  </si>
  <si>
    <t>AoE, Projectile</t>
  </si>
  <si>
    <t>(6-9) Mana</t>
  </si>
  <si>
    <t>Throws a bottle that explodes to deal unarmed attack damage in an area. Can consume charges from your Ruby, Sapphire, and Topaz flasks to add further damage. Requires an empty main hand, and no off-hand weapon.</t>
  </si>
  <si>
    <t>(65-806) to (98-1210) Added Fire Damage
+6% to Critical Strike Chance
Base radius is 1.8 metres
Can consume Charges from Ruby, Sapphire, and Topaz Flasks
Consumes 1 Charge per Projectile Fired from 1 Flask of each valid type, if possible
Deals (57-706) to (86-1058) Added Cold Damage if Charges were consumed from a Sapphire Flask
Deals (12-151) to (143-1764) Added Lightning Damage if Charges were consumed from a Topaz Flask
+(120-196)% to Damage over Time Multiplier with Ignite if Charges were consumed from a Ruby Flask</t>
  </si>
  <si>
    <t>Explosive Concoction
Attack, AoE, Fire, Cold, Lightning, Projectile
Level: (1-20)
Cost: (6-9) Mana
Attack Speed: 115% of base
Requires Level 28
Throws a bottle that explodes to deal unarmed attack damage in an area. Can consume charges from your Ruby, Sapphire, and Topaz flasks to add further damage. Requires an empty main hand, and no off-hand weapon.
(65-806) to (98-1210) Added Fire Damage
+6% to Critical Strike Chance
Base radius is 1.8 metres
Can consume Charges from Ruby, Sapphire, and Topaz Flasks
Consumes 1 Charge per Projectile Fired from 1 Flask of each valid type, if possible
Deals (57-706) to (86-1058) Added Cold Damage if Charges were consumed from a Sapphire Flask
Deals (12-151) to (143-1764) Added Lightning Damage if Charges were consumed from a Topaz Flask
+(120-196)% to Damage over Time Multiplier with Ignite if Charges were consumed from a Ruby Flask</t>
  </si>
  <si>
    <t>K4</t>
  </si>
  <si>
    <t>Flicker Strike</t>
  </si>
  <si>
    <t>Attack, Melee, Strike, Movement, Duration</t>
  </si>
  <si>
    <t>Melee, Strike, Movement</t>
  </si>
  <si>
    <t>Duration/DoT</t>
  </si>
  <si>
    <t>2.00 sec</t>
  </si>
  <si>
    <t>(177-408)% of base</t>
  </si>
  <si>
    <t>(177-408)%</t>
  </si>
  <si>
    <t>Teleports the character to a nearby monster and attacks with a melee weapon. If no specific monster is targeted, one is picked at random. Grants a buff that increases movement speed for a duration. The cooldown can be bypassed by expending a Frenzy Charge.</t>
  </si>
  <si>
    <t>Base duration is 3.00 seconds
10% increased Attack Speed per Frenzy Charge
15% chance to gain a Frenzy Charge on Hit
Buff grants 20% increased Movement Speed</t>
  </si>
  <si>
    <t>L4</t>
  </si>
  <si>
    <t>Frost Blades</t>
  </si>
  <si>
    <t>Attack, Projectile, Melee, Strike, Cold</t>
  </si>
  <si>
    <t>Cold</t>
  </si>
  <si>
    <t>Projectile, Melee, Strike</t>
  </si>
  <si>
    <t>(143-409)% of base</t>
  </si>
  <si>
    <t>(143-409)%</t>
  </si>
  <si>
    <t>2250</t>
  </si>
  <si>
    <t>Attack enemies with increased range, releasing icy blades from the first enemy hit which fly at other enemies. Requires a Melee Weapon.</t>
  </si>
  <si>
    <t>Fires (5-8) Projectiles
60% of Physical Damage Converted to Cold Damage
+(1.8-2.1) metres to Melee Strike Range
Projectiles deal 30% less Damage with Hits and Ailments</t>
  </si>
  <si>
    <t>M4</t>
  </si>
  <si>
    <t>Galvanic Arrow</t>
  </si>
  <si>
    <t>Lightning, Attack, Projectile, AoE, Bow</t>
  </si>
  <si>
    <t>(92-113)% of base</t>
  </si>
  <si>
    <t>(92-113)%</t>
  </si>
  <si>
    <t>Fire a trio of electrical arrows that quickly dissipate, vanishing shortly after being loosed. The arrows are fired with such force that they create a burst of lightning, damaging enemies in a cone in front of you.</t>
  </si>
  <si>
    <t>50% of Physical Damage Converted to Lightning Damage
Fires 3 Arrows
+(0-0.5) metres to radius
Increases and Reductions to Projectile Speed also apply to
this Skill's Area of Effect</t>
  </si>
  <si>
    <t>Galvanic Arrow
Lightning, Attack, Projectile, AoE, Bow
Level: (1-20)
Cost: (6-10) Mana
Attack Damage: (92-113)% of base
Effectiveness of Added Damage: (92-113)%
Fire a trio of electrical arrows that quickly dissipate, vanishing shortly after being loosed. The arrows are fired with such force that they create a burst of lightning, damaging enemies in a cone in front of you.
50% of Physical Damage Converted to Lightning Damage
Fires 3 Arrows
+(0-0.5) metres to radius
Increases and Reductions to Projectile Speed also apply to
this Skill's Area of Effect</t>
  </si>
  <si>
    <t>N4</t>
  </si>
  <si>
    <t>Haste</t>
  </si>
  <si>
    <t>Aura, Spell, AoE</t>
  </si>
  <si>
    <t>36</t>
  </si>
  <si>
    <t>Casts an aura that increases the movement speed, attack speed and cast speed of you and your allies.</t>
  </si>
  <si>
    <t>+(0-1.9) metres to radius
You and nearby allies gain (10-16)% increased Movement Speed
You and nearby allies gain (15-24)% increased Attack Speed
You and nearby allies gain (15-24)% increased Cast Speed</t>
  </si>
  <si>
    <t>O4</t>
  </si>
  <si>
    <t>Hatred</t>
  </si>
  <si>
    <t>Aura, Spell, AoE, Cold</t>
  </si>
  <si>
    <t>Casts an aura that grants extra cold damage based on physical damage to you and your allies.</t>
  </si>
  <si>
    <t>+(0-1.9) metres to radius
You and nearby allies gain (30-39)% of Physical Damage as Extra Cold Damage</t>
  </si>
  <si>
    <t>P4</t>
  </si>
  <si>
    <t>Herald of Agony</t>
  </si>
  <si>
    <t>Spell, Herald, Minion, Chaos, Physical</t>
  </si>
  <si>
    <t>Chaos, Physical</t>
  </si>
  <si>
    <t>Herald, Minion</t>
  </si>
  <si>
    <t>Buff/Aura, Summon</t>
  </si>
  <si>
    <t>Buff grants 20% chance to Poison on Hit Agony Crawler has (2-4)% increased Attack Speed per Virulence you have Agony Crawler deals (5-9)% increased Physical Damage per Virulence you have Agony Crawler has (1-45) to (3-84) Added Physical Damage per Virulence you have</t>
  </si>
  <si>
    <t>Grants a buff giving more poison damage and a chance to inflict poison. When you poison an enemy while you have this buff, you gain Virulence, and summon an Agony Crawler minion that uses projectile and area attacks. You will lose Virulence over time, at a rate which increases the more Virulence you have. The minion will die when you have no Virulence.
Maximum 1 Summoned Agony Crawler
Grants Virulence when you Poison an Enemy
Buff grants 10% more Damage with Poison
40 Maximum Virulence
Minions cannot Taunt Enemies</t>
  </si>
  <si>
    <t>Q4</t>
  </si>
  <si>
    <t>Herald of Ice</t>
  </si>
  <si>
    <t>Spell, AoE, Cold, Herald</t>
  </si>
  <si>
    <t>80%</t>
  </si>
  <si>
    <t>Damage cannot be Reflected</t>
  </si>
  <si>
    <t>Grants a buff adding cold damage to spells and attacks. If you shatter an enemy, this skill will cause them to explode and deal AoE cold damage to enemies near them. This damage is not affected by modifiers to spell damage.
Deals (18-308) to (26-462) Cold Damage
Base radius is 1.2 metres
Buff grants (4-38) to (5-56) Added Attack Cold Damage
Buff grants (4-38) to (5-56) Added Spell Cold Damag</t>
  </si>
  <si>
    <t>R4</t>
  </si>
  <si>
    <t>Ice Shot</t>
  </si>
  <si>
    <t>Attack, Projectile, AoE, Cold, Bow</t>
  </si>
  <si>
    <t>Chill</t>
  </si>
  <si>
    <t>(149-200)% of base</t>
  </si>
  <si>
    <t>(149-200)%</t>
  </si>
  <si>
    <t>23 / 10</t>
  </si>
  <si>
    <t>60% of Physical Damage Converted to Cold Damage</t>
  </si>
  <si>
    <t>Fires an arrow that converts some physical damage to cold on its target and converts all physical damage to cold in a cone behind that target.
Base radius is 2.4 metres
Chills Enemies as though dealing (100-195)% more Damage</t>
  </si>
  <si>
    <t>S4</t>
  </si>
  <si>
    <t>Lacerate</t>
  </si>
  <si>
    <t>Attack, AoE, Melee, Physical</t>
  </si>
  <si>
    <t>AoE, Melee</t>
  </si>
  <si>
    <t>Bleed</t>
  </si>
  <si>
    <t>(10-17) Mana</t>
  </si>
  <si>
    <t>60% of base</t>
  </si>
  <si>
    <t>(171-393)% of base</t>
  </si>
  <si>
    <t>(171-393)%</t>
  </si>
  <si>
    <t>38</t>
  </si>
  <si>
    <t>Slashes twice, releasing waves of force that damage enemies they hit. Enemies in the middle of the slashes can be hit by both. The slashes will have a chance to inflict bleeding in Blood Stance, or have a wider angle in Sand Stance. Can be used with Axes and Swords. You are in Blood Stance by default.</t>
  </si>
  <si>
    <t>+(0-0.9) metres to radius
(50-88)% more Damage with Bleeding while in Blood Stance
25% chance to cause Bleeding while in Blood Stance
50% increased angle while in Sand Stance</t>
  </si>
  <si>
    <t>T4</t>
  </si>
  <si>
    <t>Lightning Arrow</t>
  </si>
  <si>
    <t>Attack, AoE, Projectile, Lightning, Bow</t>
  </si>
  <si>
    <t>(149-177)% of base</t>
  </si>
  <si>
    <t>(149-177)%</t>
  </si>
  <si>
    <t>50% of Physical Damage Converted to Lightning Damage</t>
  </si>
  <si>
    <t>Fires a charged arrow which damages enemies by causing them to be struck by a bolt of lightning, which also damages a number of surrounding enemies.
Hits up to 3 additional enemies near the target
Shocks Enemies as though dealing (100-290)% more Damage</t>
  </si>
  <si>
    <t>U4</t>
  </si>
  <si>
    <t>Lightning Strike</t>
  </si>
  <si>
    <t>Attack, Projectile, Melee, Strike, Lightning</t>
  </si>
  <si>
    <t>(198-456)% of base</t>
  </si>
  <si>
    <t>(198-456)%</t>
  </si>
  <si>
    <t>Infuses your melee weapon with electrical energies as you swing. In addition to converting some of your physical damage to lightning damage, the stored energy is released from the weapon as projectiles as you strike, flying out to hit farther-away enemies. The projectiles cannot miss if the melee attack hit a target.</t>
  </si>
  <si>
    <t>50% of Physical Damage Converted to Lightning Damage
Fires 3 Projectiles
Projectiles deal 50% less Damage with Hits and Ailments</t>
  </si>
  <si>
    <t>V4</t>
  </si>
  <si>
    <t>Poisonous Concoction</t>
  </si>
  <si>
    <t>Attack, AoE, Chaos, Projectile</t>
  </si>
  <si>
    <t>Throws a bottle that explodes to deal unarmed attack damage in an area and has a chance to poison. Can consume charges from a Life flask to add further damage. Requires an empty main hand, and no off-hand weapon. Added Chaos Damage equal to (4-16)% of Flask's Recovery Amount if Charges were consumed from a Life Flask</t>
  </si>
  <si>
    <t>(22-537) to (33-806) Added Chaos Damage
40% chance to Poison on Hit
+6% to Critical Strike Chance
Base radius is 1.8 metres
Consumes 1 Charge per Projectile Fired from 1 Life Flask, if possible</t>
  </si>
  <si>
    <t>W4</t>
  </si>
  <si>
    <t>Precision</t>
  </si>
  <si>
    <t>Aura, Critical, Spell, AoE</t>
  </si>
  <si>
    <t>(22-186) Mana</t>
  </si>
  <si>
    <t>Casts an aura that grants accuracy and critical strike chance to you and your allies.</t>
  </si>
  <si>
    <t>+(0-1.9) metres to radius
You and nearby allies gain (20-58)% increased Critical Strike Chance
You and nearby allies gain +(93-701) to Accuracy Rating</t>
  </si>
  <si>
    <t>X4</t>
  </si>
  <si>
    <t>Rain of Arrows</t>
  </si>
  <si>
    <t>Attack, AoE, Projectile, Bow</t>
  </si>
  <si>
    <t>(48-60)% of base</t>
  </si>
  <si>
    <t>(48-60)%</t>
  </si>
  <si>
    <t>Fires multiple arrows into the air, to land in sequence after a delay, starting at the targeted location and spreading outwards in all directions. Each arrow deals damage in an area around it. Half of the arrows will land directly on targets if there are targets in their range.
Fires (18-22) Arrows</t>
  </si>
  <si>
    <t>Y4</t>
  </si>
  <si>
    <t>Scourge Arrow</t>
  </si>
  <si>
    <t>Attack, Projectile, Channelling, Chaos, Bow</t>
  </si>
  <si>
    <t>Projectile, Channelling, Bow</t>
  </si>
  <si>
    <t>Projectile, Channel</t>
  </si>
  <si>
    <t>(4-5) Mana</t>
  </si>
  <si>
    <t>190% of base</t>
  </si>
  <si>
    <t>(48-65)% of base</t>
  </si>
  <si>
    <t>(48-65)%</t>
  </si>
  <si>
    <t>Channel to infuse an arrow with chaos, gaining stages while it is held. Release to fire it, leaving spore pods in its wake. Each spore pod blooms, firing thorn arrows, which travel for a short time before dissipating. Modifiers that cause additional projectiles to be fired will only apply to the initial arrows, and the spore pods will be divided between those arrows.</t>
  </si>
  <si>
    <t>Arrows Pierce all Targets
60% of Physical Damage Converted to Chaos Damage
150% more Damage with Hits and Ailments per Stage
Maximum 5 Stages
Leaves 1 Spore Pod per Stage
Each Spore Pod fires 9 Thorn Arrows
Thorn Arrows deal (60-50)% less Damage</t>
  </si>
  <si>
    <t>Z4</t>
  </si>
  <si>
    <t>Tornado Shot</t>
  </si>
  <si>
    <t>(9-13) Mana</t>
  </si>
  <si>
    <t>(100-120)% of base</t>
  </si>
  <si>
    <t>(100-120)%</t>
  </si>
  <si>
    <t>Fires a piercing shot that travels until it reaches the targeted location. It will then fire projectiles out in all directions from that point, which will travel for a short time before disappearing.
Fires 3 secondary Projectiles</t>
  </si>
  <si>
    <t>AA4</t>
  </si>
  <si>
    <t>Toxic Rain</t>
  </si>
  <si>
    <t>Attack, AoE, Chaos, Duration, Projectile, Bow</t>
  </si>
  <si>
    <t>Slow</t>
  </si>
  <si>
    <t>(50-72)% of base</t>
  </si>
  <si>
    <t>(50-73)%</t>
  </si>
  <si>
    <t>Fire arrows into the air that rain down around the targeted area, dealing damage to enemies they hit and creating spore pods where they land. Each spore pod deals chaos damage over time to nearby enemies and slows their movement speed. The pods last for a duration before bursting, dealing area damage. Each Spore Pod applies 5% less Movement Speed to nearby Enemies, to a maximum of 30%</t>
  </si>
  <si>
    <t>Deals (8-238) Base Chaos Damage per second
Base duration is 1.00 second
Fires 5 Arrows
Modifiers to Projectile Damage apply to this Skill's Damage Over Time effect
60% of Physical Damage Converted to Chaos Damage</t>
  </si>
  <si>
    <t>A6</t>
  </si>
  <si>
    <t>Arc</t>
  </si>
  <si>
    <t>Spell, Chaining, Lightning</t>
  </si>
  <si>
    <t>Chain</t>
  </si>
  <si>
    <t>(8-23) Mana</t>
  </si>
  <si>
    <t>0.70 sec</t>
  </si>
  <si>
    <t>120%</t>
  </si>
  <si>
    <t>Critical Strike Chance: 6.00% An arc of lightning reaches from the caster to a targeted enemy and chains to other enemies, but not immediately back. Each time the arc chains, it will also chain a secondary arc to another enemy that the main arc has not already hit, which cannot chain further. 15% more Damage with Hits and Ailments for each remaining Chain</t>
  </si>
  <si>
    <t>Deals (6-198) to (32-1122) Lightning Damage
Chains +(4-7) Times</t>
  </si>
  <si>
    <t>B6</t>
  </si>
  <si>
    <t>Ball Lightning</t>
  </si>
  <si>
    <t>Spell, Projectile, AoE, Lightning</t>
  </si>
  <si>
    <t>Projectile, AoE</t>
  </si>
  <si>
    <t>(12-23) Mana</t>
  </si>
  <si>
    <t>60%</t>
  </si>
  <si>
    <t>400</t>
  </si>
  <si>
    <t>Critical Strike Chance: 5.00%</t>
  </si>
  <si>
    <t>Fires a slow-moving projectile that damages each enemy in an area around it repeatedly with bolts of lightning.
Deals (2-32) to (47-617) Lightning Damage
Base radius is 1.8 metres</t>
  </si>
  <si>
    <t>C6</t>
  </si>
  <si>
    <t>Blight</t>
  </si>
  <si>
    <t>Spell, Chaos, AoE, Channelling, Duration</t>
  </si>
  <si>
    <t>AoE, Channelling</t>
  </si>
  <si>
    <t>Area, Channel, Duration/DoT</t>
  </si>
  <si>
    <t>(2-5) Mana</t>
  </si>
  <si>
    <t>0.30 sec</t>
  </si>
  <si>
    <t>26</t>
  </si>
  <si>
    <t>Apply a debuff to enemies in front of you which deals chaos damage over time. Enemies who aren't already debuffed by Blight are also hindered for a shorter secondary duration, slowing their movement. Continued channelling adds layers of damage to the debuff, each with their own duration.</t>
  </si>
  <si>
    <t>Deals (5.9-421.5) Base Chaos Damage per second
Base duration is 2.00 seconds
Base secondary duration is 1.00 seconds
Modifiers to Spell Damage apply to this Skill's Damage Over Time effect
+(0-0.6) metres to radius
80% reduced Movement Speed
Debuff can have up to 20 layers of Damage</t>
  </si>
  <si>
    <t>D6</t>
  </si>
  <si>
    <t>Blazing Salvo</t>
  </si>
  <si>
    <t>Spell, AoE, Fire, Projectile</t>
  </si>
  <si>
    <t>Critical Strike Chance: 6.00%</t>
  </si>
  <si>
    <t>Fires projectiles which fly in an arc, dealing area damage on impact with either enemies or the ground near where you target. Targeting farther away causes the projectiles to spread out and land over a wider area.
Deals (7-270) to (10-405) Fire Damage
Fires (5-7) Projectiles</t>
  </si>
  <si>
    <t>E6</t>
  </si>
  <si>
    <t>Eye of Winter</t>
  </si>
  <si>
    <t>Spell, Projectile, Cold</t>
  </si>
  <si>
    <t>(14-26) Mana</t>
  </si>
  <si>
    <t>55%</t>
  </si>
  <si>
    <t>Fires a single eye projectile which constantly releases shard projectiles in a spiral. The shards will damage enemies they impact, dealing cold damage. The eye cannot damage enemies. When the eye dissipates or collides with terrain, it releases a faster spiral of extra shards.
Deals (16-245) to (25-367) Cold Damage
Modifiers to number of Projectiles only apply to the final Spiral
Fires 8 Shard Projectiles in a Spiral when Projectile ends
Projectiles continuously gain Damage, up to 200% more Damage by the time they dissipate</t>
  </si>
  <si>
    <t>F6</t>
  </si>
  <si>
    <t>Fireball</t>
  </si>
  <si>
    <t>Projectile, Spell, AoE, Fire</t>
  </si>
  <si>
    <t>(6-25) Mana</t>
  </si>
  <si>
    <t>0.75 sec</t>
  </si>
  <si>
    <t>(260-370)%</t>
  </si>
  <si>
    <t>9</t>
  </si>
  <si>
    <t>1040</t>
  </si>
  <si>
    <t>Critical Strike Chance: 6.00% Unleashes a ball of fire towards a target which explodes, damaging nearby foes.</t>
  </si>
  <si>
    <t>Deals (9-1640) to (14-2460) Fire Damage
25% chance to Ignite enemies
Base radius is (0.9-1.4) metres</t>
  </si>
  <si>
    <t>Fireball
Projectile, Spell, AoE, Fire
Level: (1-20)
Cost: (6-25) Mana
Cast Time: 0.75 sec
Critical Strike Chance: 6.00%
Effectiveness of Added Damage: (260-370)%
Projectile Speed: 1040
AoE Radius: 9
Unleashes a ball of fire towards a target which explodes, damaging nearby foes.
Deals (9-1640) to (14-2460) Fire Damage
25% chance to Ignite enemies
Base radius is (0.9-1.4) metres</t>
  </si>
  <si>
    <t>G6</t>
  </si>
  <si>
    <t>Forbidden Rite</t>
  </si>
  <si>
    <t>Spell, AoE, Chaos, Projectile</t>
  </si>
  <si>
    <t>(8-21) Mana</t>
  </si>
  <si>
    <t>110%</t>
  </si>
  <si>
    <t>Critical Strike Chance: 6.00% Lobs an exploding projectile near the targeted location, and extra projectiles toward enemies around you. The projectiles deal chaos damage based on your life and energy shield. Casting this spell damages you.</t>
  </si>
  <si>
    <t>Deals (15-498) to (22-747) Chaos Damage
Deals 5% of your maximum Energy Shield as base Chaos Damage
Deals 12% of your maximum Life as base Chaos Damage
Take 40% of maximum Life and 25% of maximum Energy Shield as Chaos Damage
Fires extra Projectiles at up to (6-7) surrounding Enemies</t>
  </si>
  <si>
    <t>H6</t>
  </si>
  <si>
    <t>Freezing Pulse</t>
  </si>
  <si>
    <t>Freeze</t>
  </si>
  <si>
    <t>(5-21) Mana</t>
  </si>
  <si>
    <t>0.65 sec</t>
  </si>
  <si>
    <t>(250-330)%</t>
  </si>
  <si>
    <t>1800</t>
  </si>
  <si>
    <t>Critical Strike Chance: 6.00% An icy projectile which has a chance to freeze enemies it passes through. The projectile fades quickly, reducing damage and freezing chance until it dissipates.</t>
  </si>
  <si>
    <t>Deals (8-1458) to (12-2188) Cold Damage
Projectiles Pierce all Targets
Projectiles continuously lose Damage, up to 50% less Damage by the time they dissipate
Projectiles have 25% chance to Freeze, which is lost over the first quarter of their flight</t>
  </si>
  <si>
    <t>I6</t>
  </si>
  <si>
    <t>Herald of Thunder</t>
  </si>
  <si>
    <t>Spell, AoE, Duration, Lightning, Herald</t>
  </si>
  <si>
    <t>32</t>
  </si>
  <si>
    <t>Storm Hits an Enemy every 0.25 Seconds</t>
  </si>
  <si>
    <t>Grants a buff which adds lightning damage to spells and attacks. If you kill a shocked enemy, this skill will create a storm, causing lightning bolts to strike enemies around you for a duration. The damage inflicted by this skill is not affected by modifiers to spell damage.
Deals (1-23) to (31-1108) Lightning Damage
Cannot inflict Shock
Base duration is 6.00 seconds
Creates a storm when you Kill a Shocked Enemy
Buff grants (2-19) to (7-76) Added Attack Lightning Damage
Buff grants (2-19) to (7-76) Added Spell Lightning Damage</t>
  </si>
  <si>
    <t>J6</t>
  </si>
  <si>
    <t>Kinetic Blast</t>
  </si>
  <si>
    <t>Attack, Projectile, AoE</t>
  </si>
  <si>
    <t>(140-155)% of base</t>
  </si>
  <si>
    <t>(140-155)%</t>
  </si>
  <si>
    <t>14</t>
  </si>
  <si>
    <t>Kinetic Blast creates 4 additional explosions Increases and Reductions to Spell Damage also apply to Attack Damage from this Skill at 200% of their value</t>
  </si>
  <si>
    <t>Fires a projectile from a Wand that causes a series of area explosions in a secondary radius around its point of impact, each damaging enemies.
35% less Area Damage
Base explosion radius is 1.4 metres
Base secondary radius is 2 metres</t>
  </si>
  <si>
    <t>K6</t>
  </si>
  <si>
    <t>Kinetic Rain</t>
  </si>
  <si>
    <t>Attack, AoE, Projectile, Duration, Trigger</t>
  </si>
  <si>
    <t>AoE, Projectile, Trigger</t>
  </si>
  <si>
    <t>(20-25)% of base</t>
  </si>
  <si>
    <t>(20-25)%</t>
  </si>
  <si>
    <t>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Increases and Reductions to Spell Damage also apply to Attack Damage from this Skill at 150% of their value This Skill is Triggered when Projectiles from Kinetic Rain explode</t>
  </si>
  <si>
    <t>Fires 8 Projectiles
Base targeting area length is 9 metres
Base targeting area width is 4.5 metres
Base explosion radius is 1.2 metres
Base duration is 6.00 seconds
Base explosion radius is 1.2 metres
Maximum 30 Anomalies</t>
  </si>
  <si>
    <t>L6</t>
  </si>
  <si>
    <t>Orb of Storms</t>
  </si>
  <si>
    <t>Lightning, Spell, AoE, Chaining, Orb</t>
  </si>
  <si>
    <t>AoE, Chaining, Orb</t>
  </si>
  <si>
    <t>Area, Chain</t>
  </si>
  <si>
    <t>(22-16) Mana</t>
  </si>
  <si>
    <t>(80-110)%</t>
  </si>
  <si>
    <t>Critical Strike Chance: 5.00% Creates a stationary electrical orb that strikes enemies in its area of effect with beams of lightning that can then split to hit more enemies. Modifiers to cast speed will increase how frequently it does this. Casting this skill again will replace the previous orb. Strikes every (3.50-2.55) seconds, and when you use a Lightning Skill near the Orb Strikes every 0.50 seconds while Channelling a Lightning Skill near the Orb Beams Split towards targets within a base radius of 3.5 metres</t>
  </si>
  <si>
    <t>Deals (3-304) to (8-913) Lightning Damage
Base radius is 2.8 metres
Beam Splits towards 3 additional targets
Orb disappears after (10-29) Strikes</t>
  </si>
  <si>
    <t>M6</t>
  </si>
  <si>
    <t>Raise Zombie</t>
  </si>
  <si>
    <t>(9-28) Mana</t>
  </si>
  <si>
    <t>0.85 sec</t>
  </si>
  <si>
    <t>Raises a zombie minion from a corpse, which will follow you and attack enemies with a melee strike.</t>
  </si>
  <si>
    <t>Maximum (3-6) Raised Zombies
Minions have (0-38)% more Maximum Life</t>
  </si>
  <si>
    <t>Raise Zombie
Spell, Minion
Level: (1-20)
Cost: (9-28) Mana
Cast Time: 0.85 sec
Raises a zombie minion from a corpse, which will follow you and attack enemies with a melee strike.
Maximum (3-6) Raised Zombies
Minions have (0-38)% more Maximum Life</t>
  </si>
  <si>
    <t>N6</t>
  </si>
  <si>
    <t>Righteous Fire</t>
  </si>
  <si>
    <t>Engulfs you in magical fire that rapidly burns you and nearby enemies. Your spell damage is substantially increased while under this effect. The effect ends when you have 1 life remaining.</t>
  </si>
  <si>
    <t>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t>
  </si>
  <si>
    <t>O6</t>
  </si>
  <si>
    <t>Summon Carrion Golem</t>
  </si>
  <si>
    <t>Physical, Minion, Spell, Golem</t>
  </si>
  <si>
    <t>Golems deal 5% more Damage per Non-Golem Minion near them, up to 50% Golems grant (7-27) to (11-41) additional Physical Damage for Non-Golem Minions</t>
  </si>
  <si>
    <t>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t>
  </si>
  <si>
    <t>P6</t>
  </si>
  <si>
    <t>Vortex</t>
  </si>
  <si>
    <t>Spell, AoE, Cold, Duration, Nova</t>
  </si>
  <si>
    <t>AoE, Nova</t>
  </si>
  <si>
    <t>(13-25) Mana</t>
  </si>
  <si>
    <t>(130-210)%</t>
  </si>
  <si>
    <t>2</t>
  </si>
  <si>
    <t>Critical Strike Chance: 6.00% An icy blast explodes around the caster, dealing cold damage to enemies, and leaving behind a whirling vortex which deals cold damage over time and chills enemies caught in it.</t>
  </si>
  <si>
    <t>Deals (48-933) to (72-1399) Cold Damage
Base duration is 3.00 seconds
Deals (115.6-2772.8) Base Cold Damage per second
Modifiers to Spell Damage apply to this Skill's Damage Over Time effect
Base radius is 2 metres
Base secondary radius is 2 metres</t>
  </si>
  <si>
    <t>SUPPORT</t>
  </si>
  <si>
    <t>A1</t>
  </si>
  <si>
    <t>Support</t>
  </si>
  <si>
    <t>Added Fire Damage Support</t>
  </si>
  <si>
    <t>Fire, Physical, Support</t>
  </si>
  <si>
    <t>Fire, Physical</t>
  </si>
  <si>
    <t>Direct</t>
  </si>
  <si>
    <t>8</t>
  </si>
  <si>
    <t>F</t>
  </si>
  <si>
    <t>Supports any skill that hits enemies.</t>
  </si>
  <si>
    <t>Supported Skills gain (25-39)% of Physical Damage as Extra Fire Damage</t>
  </si>
  <si>
    <t>B1</t>
  </si>
  <si>
    <t>Brutality Support</t>
  </si>
  <si>
    <t>Physical, Support</t>
  </si>
  <si>
    <t>140%</t>
  </si>
  <si>
    <t>U</t>
  </si>
  <si>
    <t>Supports any skill that deals damage.</t>
  </si>
  <si>
    <t>Supported Skills deal (25-39)% more Physical Damage
Supported Skills deal no Chaos Damage
Supported Skills deal no Elemental Damage</t>
  </si>
  <si>
    <t>C1</t>
  </si>
  <si>
    <t>Burning Damage Support</t>
  </si>
  <si>
    <t>Fire, Support</t>
  </si>
  <si>
    <t>130%</t>
  </si>
  <si>
    <t>31</t>
  </si>
  <si>
    <t>b</t>
  </si>
  <si>
    <t>Supports any skill that hits enemies, or can deal burning damage directly.</t>
  </si>
  <si>
    <t>Supported Skills deal (20-34)% more Burning Damage</t>
  </si>
  <si>
    <t>D1</t>
  </si>
  <si>
    <t>Chance to Bleed Support</t>
  </si>
  <si>
    <t>Attack, Physical, Support</t>
  </si>
  <si>
    <t>E</t>
  </si>
  <si>
    <t>Supports attack skills.</t>
  </si>
  <si>
    <t>Supported Attacks have 25% chance to cause Bleeding
Supported Attacks deal (10-29)% more Damage with Bleeding</t>
  </si>
  <si>
    <t>E1</t>
  </si>
  <si>
    <t>Cold to Fire Support</t>
  </si>
  <si>
    <t>Cold, Fire, Support</t>
  </si>
  <si>
    <t>Cold, Fire</t>
  </si>
  <si>
    <t>18</t>
  </si>
  <si>
    <t>x</t>
  </si>
  <si>
    <t>Supported Skills gain (10-29)% of Cold Damage as Extra Fire Damage
Supported Skills have 50% of Cold Damage Converted to Fire Damage</t>
  </si>
  <si>
    <t>F1</t>
  </si>
  <si>
    <t>Cruelty Support</t>
  </si>
  <si>
    <t>Support, Duration</t>
  </si>
  <si>
    <t>Y</t>
  </si>
  <si>
    <t>Supports any skill that hits enemies. Minions cannot gain Cruelty. (0-19)% increased Effect of Cruelty granted by Supported Skills</t>
  </si>
  <si>
    <t>Supported Skills deal (15-24)% more Damage with Hits
Cruelty has a Base Duration of 4 seconds
Hits from Supported Skills grant Cruelty</t>
  </si>
  <si>
    <t>G1</t>
  </si>
  <si>
    <t>Elemental Damage with Attacks Support</t>
  </si>
  <si>
    <t>Attack, Support</t>
  </si>
  <si>
    <t>W</t>
  </si>
  <si>
    <t>Supported Attack Skills deal (20-34)% more Elemental Damage</t>
  </si>
  <si>
    <t>Elemental Damage with Attacks Support
Attack, Support
Icon: W
Level: (1-20)
Cost &amp; Reservation Multiplier: 130%
Requires Level 18
Supports attack skills.
Supported Attack Skills deal (20-34)% more Elemental Damage</t>
  </si>
  <si>
    <t>H1</t>
  </si>
  <si>
    <t>Endurance Charge on Melee Stun Support</t>
  </si>
  <si>
    <t>Support, Melee, Attack</t>
  </si>
  <si>
    <t>Melee</t>
  </si>
  <si>
    <t>e</t>
  </si>
  <si>
    <t>Supports melee attack skills. Gain an Endurance Charge when you Stun an Enemy with a Melee Hit from Supported Skills</t>
  </si>
  <si>
    <t>4% more Damage per Endurance Charge
Supported Skills have (0-19)% reduced Enemy Stun Threshold</t>
  </si>
  <si>
    <t>I1</t>
  </si>
  <si>
    <t>Fire Penetration Support</t>
  </si>
  <si>
    <t>V</t>
  </si>
  <si>
    <t>Supports any skill that hits enemies, making those hits penetrate enemy fire resistance.</t>
  </si>
  <si>
    <t>Supported Skills Penetrate (20-34)% Fire Resistance</t>
  </si>
  <si>
    <t>J1</t>
  </si>
  <si>
    <t>Less Duration Support</t>
  </si>
  <si>
    <t>d</t>
  </si>
  <si>
    <t>Supports any skill that has a duration.</t>
  </si>
  <si>
    <t>Supported Skills deal (10-19)% more Damage
Supported Skills have (40-49)% less Skill Effect Duration</t>
  </si>
  <si>
    <t>K1</t>
  </si>
  <si>
    <t>Maim Support</t>
  </si>
  <si>
    <t>Maim</t>
  </si>
  <si>
    <t>m</t>
  </si>
  <si>
    <t>Supports attack skills, or other skills that can maim enemies.</t>
  </si>
  <si>
    <t>Supported Skills deal (10-19)% more Physical Damage
Supported Attacks have 30% chance to Maim on Hit
Enemies Maimed by Supported Skills take 10% increased Physical Damage</t>
  </si>
  <si>
    <t>L1</t>
  </si>
  <si>
    <t>Melee Physical Damage Support</t>
  </si>
  <si>
    <t>Melee, Physical, Support, Attack</t>
  </si>
  <si>
    <t>Poison, Bleed</t>
  </si>
  <si>
    <t>M</t>
  </si>
  <si>
    <t>Supports melee attack skills.</t>
  </si>
  <si>
    <t>Supported Skills deal (30-49)% more Melee Physical Damage
Supported Skills deal (30-49)% more Damage with Bleeding and Poison caused by Melee Hits
Supported Skills have 10% less Attack Speed</t>
  </si>
  <si>
    <t>M1</t>
  </si>
  <si>
    <t>More Duration Support</t>
  </si>
  <si>
    <t>D</t>
  </si>
  <si>
    <t>Supports any skill with a duration.</t>
  </si>
  <si>
    <t>Supported Skills have (30-39)% more Skill Effect Duration</t>
  </si>
  <si>
    <t>N1</t>
  </si>
  <si>
    <t>Multistrike Support</t>
  </si>
  <si>
    <t>Attack, Melee, Support</t>
  </si>
  <si>
    <t>150%</t>
  </si>
  <si>
    <t>3</t>
  </si>
  <si>
    <t>Supports melee attack skills, making them repeat twice when used, targeting a random enemy each time. Cannot support Vaal skills, channelling skills, travel skills, retaliation skills or triggered skills.</t>
  </si>
  <si>
    <t>Supported Skills Repeat 2 additional times
Supported Skills have (35-44)% more Melee Attack Speed
Supported Skills deal (30-20)% less Attack Damage
First Repeat of Supported Skills deals 22% more Damage
Second Repeat of Supported Skills deals 44% more Damage</t>
  </si>
  <si>
    <t>O1</t>
  </si>
  <si>
    <t>Pulverise Support</t>
  </si>
  <si>
    <t>AoE, Support, Melee, Attack</t>
  </si>
  <si>
    <t>P</t>
  </si>
  <si>
    <t>Supported Skills have (25-34)% increased Area of Effect
Supported Skills have 15% less Attack Speed
Supported Skills deal (35-49)% more Melee Area Damage</t>
  </si>
  <si>
    <t>P1</t>
  </si>
  <si>
    <t>Ruthless Support</t>
  </si>
  <si>
    <t>Slam, Support, Melee, Attack, Strike</t>
  </si>
  <si>
    <t>Slam, Melee, Strike</t>
  </si>
  <si>
    <t>u</t>
  </si>
  <si>
    <t>Supports melee strike or slam skills. Every third time you use a supported attack, that use of the skill will be more powerful. Ruthless Blows with Supported Skills deal (70-98)% more Melee Damage Ruthless Blows with Supported Skills deal (70-98)% more Damage with Ruthless Blows with Supported Skills have a base Stun Duration of 0.8 seconds</t>
  </si>
  <si>
    <t>Every third Attack with Supported Melee Attacks deals a Ruthless Blow
Ailments caused by Melee Hits</t>
  </si>
  <si>
    <t>Q1</t>
  </si>
  <si>
    <t>Shockwave Support</t>
  </si>
  <si>
    <t>Support, Melee, Attack, AoE</t>
  </si>
  <si>
    <t>Melee, AoE</t>
  </si>
  <si>
    <t>(1-4) Use(s)</t>
  </si>
  <si>
    <t>s</t>
  </si>
  <si>
    <t>Supports melee attack skills. Cannot support triggered attacks, attacks used by things other than you, or skills which create minions.</t>
  </si>
  <si>
    <t>Supported Skills will Trigger Shockwave on Melee Hit
Supported Skills can only be used with Maces, Sceptres or Staves
Base radius is (2.4-2.7) metres
(0-38)% increased Cooldown Recovery Rate</t>
  </si>
  <si>
    <t>R1</t>
  </si>
  <si>
    <t>Stun Support</t>
  </si>
  <si>
    <t>t</t>
  </si>
  <si>
    <t>Supports any skill that hits enemies, making it easier to stun enemies with those skills.</t>
  </si>
  <si>
    <t>Supported Skills have (30-49)% reduced Enemy Stun Threshold</t>
  </si>
  <si>
    <t>A3</t>
  </si>
  <si>
    <t>Added Cold Damage Support</t>
  </si>
  <si>
    <t>Cold, Support</t>
  </si>
  <si>
    <t>C</t>
  </si>
  <si>
    <t>Supported Skills have (4-152) to (6-228) added Cold Damag</t>
  </si>
  <si>
    <t>B3</t>
  </si>
  <si>
    <t>Additional Accuracy Support</t>
  </si>
  <si>
    <t>a</t>
  </si>
  <si>
    <t>Supported Skills have +(74-1034) to Accuracy Rating</t>
  </si>
  <si>
    <t>C3</t>
  </si>
  <si>
    <t>Barrage Support</t>
  </si>
  <si>
    <t>Bow, Attack, Support, Projectile</t>
  </si>
  <si>
    <t>Bow, Projectile</t>
  </si>
  <si>
    <t>N</t>
  </si>
  <si>
    <t>Supports projectile attack skills that use bows or wands. Cannot support triggered skills, channelled skills, or skills that create Minions.</t>
  </si>
  <si>
    <t>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t>
  </si>
  <si>
    <t>D3</t>
  </si>
  <si>
    <t>Chain Support</t>
  </si>
  <si>
    <t>Support, Chaining, Projectile</t>
  </si>
  <si>
    <t>Chaining, Projectile</t>
  </si>
  <si>
    <t>c</t>
  </si>
  <si>
    <t>Supports projectile skills, and any other skills that chain.</t>
  </si>
  <si>
    <t>Supported Skills Chain +2 times
Supported Skills deal (30-11)% less Damage with Hits</t>
  </si>
  <si>
    <t>E3</t>
  </si>
  <si>
    <t>Chance to Poison Support</t>
  </si>
  <si>
    <t>Chaos, Support</t>
  </si>
  <si>
    <t>O</t>
  </si>
  <si>
    <t>Supported Skills have 40% chance to Poison on Hit
Supported Skills have (1-94) to (2-141) added Chaos Damage</t>
  </si>
  <si>
    <t>F3</t>
  </si>
  <si>
    <t>Cold Penetration Support</t>
  </si>
  <si>
    <t>Supports any skill that hits enemies, making those hits penetrate enemy cold resistance.</t>
  </si>
  <si>
    <t>Supported Skills Penetrate (20-34)% Cold Resistance</t>
  </si>
  <si>
    <t>G3</t>
  </si>
  <si>
    <t>Critical Strike Affliction Support</t>
  </si>
  <si>
    <t>Critical, Support</t>
  </si>
  <si>
    <t>o</t>
  </si>
  <si>
    <t>Supported Skills have +(70-98)% Damage over Time Multiplier for Ailments from Critical Strikes</t>
  </si>
  <si>
    <t>H3</t>
  </si>
  <si>
    <t>Culling Strike Support</t>
  </si>
  <si>
    <t>X</t>
  </si>
  <si>
    <t>Supports any skill that hits enemies. If enemies are left below 10% of maximum life after being hit by these skills, they will be killed. Kill Enemies that have 10% Life or lower when Hit by Supported Skills</t>
  </si>
  <si>
    <t>Supported Skills deal (0-38)% increased Damage</t>
  </si>
  <si>
    <t>I3</t>
  </si>
  <si>
    <t>Deadly Ailments Support</t>
  </si>
  <si>
    <t>i</t>
  </si>
  <si>
    <t>Supported Skills deal (30-44)% more Damage with Ailments
Supported Skills deal 80% less Damage with Hits</t>
  </si>
  <si>
    <t>J3</t>
  </si>
  <si>
    <t>Faster Attacks Support</t>
  </si>
  <si>
    <t>A</t>
  </si>
  <si>
    <t>Supported Skills have (20-44)% increased Attack Speed</t>
  </si>
  <si>
    <t>K3</t>
  </si>
  <si>
    <t>Faster Projectiles Support</t>
  </si>
  <si>
    <t>Support, Projectile</t>
  </si>
  <si>
    <t>j</t>
  </si>
  <si>
    <t>Supports projectile skills.</t>
  </si>
  <si>
    <t>Supported Skills have (50-69)% increased Projectile Speed
Supported Skills deal (20-29)% increased Projectile Damage</t>
  </si>
  <si>
    <t>L3</t>
  </si>
  <si>
    <t>Fork Support</t>
  </si>
  <si>
    <t>Supports projectile skills, making their projectiles fork into two projectiles the first time they hit an enemy and don't pierce it.</t>
  </si>
  <si>
    <t>Projectiles from Supported Skills Fork
Supported Skills deal (-10-9)% more Projectile Damage</t>
  </si>
  <si>
    <t>M3</t>
  </si>
  <si>
    <t>Greater Multiple Projectiles Support</t>
  </si>
  <si>
    <t>Supported Skills deal (35-26)% less Projectile Damage
Supported Skills fire 4 additional Projectiles</t>
  </si>
  <si>
    <t>N3</t>
  </si>
  <si>
    <t>Greater Volley Support</t>
  </si>
  <si>
    <t>≣</t>
  </si>
  <si>
    <t>Supports skills that fire projectiles from the user. Does not affect projectiles fired from other locations as secondary effects. Does not support skills that fire projectiles in a spiral.</t>
  </si>
  <si>
    <t>Supported Skills fire 4 additional Projectiles
Supported Skills also fire Projectiles from up to 4 points on each side of you
Supported Skills deal (30-21)% less Projectile Damage</t>
  </si>
  <si>
    <t>Greater Volley Support
Support, Projectile
Icon: ≣
Level: (1-20)
Cost &amp; Reservation Multiplier: 150%
Requires Level 38
Supports skills that fire projectiles from the user. Does not affect projectiles fired from other locations as secondary effects. Does not support skills that fire projectiles in a spiral.
Supported Skills fire 4 additional Projectiles
Supported Skills also fire Projectiles from up to 4 points on each side of you
Supported Skills deal (30-21)% less Projectile Damage</t>
  </si>
  <si>
    <t>O3</t>
  </si>
  <si>
    <t>Hypothermia Support</t>
  </si>
  <si>
    <t>Freeze, Chill</t>
  </si>
  <si>
    <t>Supported Skills have +20% chance to Freeze Enemies which are Chilled
Supported Skills deal (20-29)% more Cold Damage Over Time
Supported Skills deal (20-29)% more Damage with Hits and Ailments against Chilled Enemies</t>
  </si>
  <si>
    <t>P3</t>
  </si>
  <si>
    <t>Impale Support</t>
  </si>
  <si>
    <t>Impale</t>
  </si>
  <si>
    <t>I</t>
  </si>
  <si>
    <t>Supported Attacks have 60% chance to Impale Enemies on Hit
Supported Attacks have (0-28)% increased Impale Effect</t>
  </si>
  <si>
    <t>Q3</t>
  </si>
  <si>
    <t>Mirage Archer Support</t>
  </si>
  <si>
    <t>Bow, Attack, Support, Duration</t>
  </si>
  <si>
    <t>Bow</t>
  </si>
  <si>
    <t>Supports attack skills that can be used with bows. Supported skills can only be used with bows. Cannot support Vaal skills, minion skills, movement skills, or skills used by totems, traps, or mines. When you Hit an Enemy with an Arrow from a Supported Skill, Summon a Mirage Archer which uses that Skill Mirage Archer can use Triggered Attacks as though they were not Triggered Mirage Archer uses Supported Skill with 60% less Attack Speed Mirage Archer deals (40-31)% less Damage with Supported Skills</t>
  </si>
  <si>
    <t>Maximum 1 Summoned Mirage Archer
Mirage Archer lasts 4 seconds</t>
  </si>
  <si>
    <t>R3</t>
  </si>
  <si>
    <t>Multiple Projectiles Support</t>
  </si>
  <si>
    <t>l</t>
  </si>
  <si>
    <t>Supported Skills deal (15-6)% less Projectile Damage
Supported Skills fire 2 additional Projectiles</t>
  </si>
  <si>
    <t>S3</t>
  </si>
  <si>
    <t>Pierce Support</t>
  </si>
  <si>
    <t>p</t>
  </si>
  <si>
    <t>Projectiles from Supported Skills Pierce (2-4) additional Targets
Supported Skills deal (0-19)% more Projectile Damage</t>
  </si>
  <si>
    <t>T3</t>
  </si>
  <si>
    <t>Returning Projectiles Support</t>
  </si>
  <si>
    <t>R</t>
  </si>
  <si>
    <t>Projectiles from Supported Skills Return to you
Projectiles from Supported Skills deal (70-66)% less Damage with Hits and Ailments while Returning
Projectiles from Supported Skills Pierce all Targets while Returning</t>
  </si>
  <si>
    <t>U3</t>
  </si>
  <si>
    <t>Slower Projectiles Support</t>
  </si>
  <si>
    <t>J</t>
  </si>
  <si>
    <t>Supported Skills have (20-30)% less Projectile Speed
Supported Skills deal (10-19)% more Projectile Damage</t>
  </si>
  <si>
    <t>V3</t>
  </si>
  <si>
    <t>Swift Affliction Support</t>
  </si>
  <si>
    <t>r</t>
  </si>
  <si>
    <t>Supports any skill that has a duration, or can hit enemies to inflict ailments on them. 25% less Duration of Supported Skills and Damaging Ailments they inflict</t>
  </si>
  <si>
    <t>Supported Skills deal (25-39)% more Damage over Time</t>
  </si>
  <si>
    <t>W3</t>
  </si>
  <si>
    <t>Vicious Projectiles Support</t>
  </si>
  <si>
    <t>Projectile, Attack, Physical, Chaos, Support</t>
  </si>
  <si>
    <t>Physical, Chaos</t>
  </si>
  <si>
    <t>Supports projectile attack skills.</t>
  </si>
  <si>
    <t>Supported Skills deal (30-49)% more Chaos Damage over Time
Supported Skills deal (30-49)% more Physical Damage over Time
Supported Skills deal (30-49)% more Physical Projectile Attack Damage
Supported Skills have 10% less Projectile Attack Speed</t>
  </si>
  <si>
    <t>X3</t>
  </si>
  <si>
    <t>Vile Toxins Support</t>
  </si>
  <si>
    <t>Supported Skills deal 5% more Damage with Hits for each Poison on the Enemy, up to (5-8)
Supported Skills deal (10-19)% more Damage with Poison</t>
  </si>
  <si>
    <t>Y3</t>
  </si>
  <si>
    <t>Void Manipulation Support</t>
  </si>
  <si>
    <t>v</t>
  </si>
  <si>
    <t>Supported Skills deal (20-34)% more Chaos Damage
Supported Skills deal no Elemental Damage</t>
  </si>
  <si>
    <t>Z3</t>
  </si>
  <si>
    <t>Volley Support</t>
  </si>
  <si>
    <t>=</t>
  </si>
  <si>
    <t>Supported Skills fire 2 additional Projectiles
Supported Skills also fire Projectiles from up to 2 points on each side of you
Supported Skills deal (12-3)% less Projectile Damage</t>
  </si>
  <si>
    <t>D5</t>
  </si>
  <si>
    <t>Added Chaos Damage Support</t>
  </si>
  <si>
    <t>H</t>
  </si>
  <si>
    <t>Supported Skills have (18-154) to (26-231) added Chaos Damage</t>
  </si>
  <si>
    <t>E5</t>
  </si>
  <si>
    <t>Added Lightning Damage Support</t>
  </si>
  <si>
    <t>Lightning, Support</t>
  </si>
  <si>
    <t>L</t>
  </si>
  <si>
    <t>Supported Skills have (1-19) to (8-358) added Lightning Damage</t>
  </si>
  <si>
    <t>F5</t>
  </si>
  <si>
    <t>Bonechill Support</t>
  </si>
  <si>
    <t>B</t>
  </si>
  <si>
    <t>Supports any skill that can chill enemies or create chilling areas. (25-44)% increased Effect of Chill inflicted with Supported Skills</t>
  </si>
  <si>
    <t>Enemies Chilled by Supported Skills increase Cold Damage taken by Chill Effect
Enemies in Chilling Areas from Supported Skills increase Cold Damage taken by Chill Effect
Supported Skills deal (5-14)% more Cold Damage</t>
  </si>
  <si>
    <t>G5</t>
  </si>
  <si>
    <t>Combustion Support</t>
  </si>
  <si>
    <t>Supported Skills deal (10-19)% more Fire Damage
Supported Skills have 25% chance to Ignite
Enemies Ignited by Supported Skills have -10% to Fire Resistance</t>
  </si>
  <si>
    <t>H5</t>
  </si>
  <si>
    <t>Concentrated Effect Support</t>
  </si>
  <si>
    <t>Support, AoE</t>
  </si>
  <si>
    <t>Supports any skill with an area of effect, regardless of whether that skill deals damage.</t>
  </si>
  <si>
    <t>Supported Skills deal (25-39)% more Area Damage
Supported Skills have 30% less Area of Effect</t>
  </si>
  <si>
    <t>I5</t>
  </si>
  <si>
    <t>Controlled Destruction Support</t>
  </si>
  <si>
    <t>Spell, Critical, Support</t>
  </si>
  <si>
    <t>Supports attack skills, or spell skills that deal damage.</t>
  </si>
  <si>
    <t>Supported Skills have 80% less Critical Strike Chance
Supported Skills deal (25-39)% more Spell Damage</t>
  </si>
  <si>
    <t>J5</t>
  </si>
  <si>
    <t>Efficacy Support</t>
  </si>
  <si>
    <t>Supports any skill that deals damage or has a duration.</t>
  </si>
  <si>
    <t>Supported Skills deal (15-24)% more Damage over Time
Supported Skills have (15-24)% increased Skill Effect Duration</t>
  </si>
  <si>
    <t>K5</t>
  </si>
  <si>
    <t>Elemental Focus Support</t>
  </si>
  <si>
    <t>Supports any skill that hits or burns enemies, or inflicts elemental ailments.</t>
  </si>
  <si>
    <t>Supported Skills deal (20-34)% more Elemental Damage
Supported Skills cannot inflict Elemental Ailments</t>
  </si>
  <si>
    <t>L5</t>
  </si>
  <si>
    <t>Elemental Proliferation Support</t>
  </si>
  <si>
    <t>Cold, Fire, Lightning, Support, AoE</t>
  </si>
  <si>
    <t>Cold, Fire, Lightning</t>
  </si>
  <si>
    <t>Ignite, Shock, Freeze</t>
  </si>
  <si>
    <t>S</t>
  </si>
  <si>
    <t>Supports any skill that hits enemies, or could otherwise apply elemental ailments. Elemental Ailments inflicted by Supported Skills spread to other enemies within (1.2-1.5) metres</t>
  </si>
  <si>
    <t>(0-19)% increased Duration of Elemental Ailments on Enemies
Supported Skills have 20% chance to Freeze, Shock and Ignite</t>
  </si>
  <si>
    <t>M5</t>
  </si>
  <si>
    <t>Faster Casting Support</t>
  </si>
  <si>
    <t>Support, Spell</t>
  </si>
  <si>
    <t>f</t>
  </si>
  <si>
    <t>Supports non-instant spell skills.</t>
  </si>
  <si>
    <t>Supported Skills have (20-39)% increased Cast Speed</t>
  </si>
  <si>
    <t>N5</t>
  </si>
  <si>
    <t>Ignite Proliferation Support</t>
  </si>
  <si>
    <t>Fire, Support, AoE</t>
  </si>
  <si>
    <t>Supports any skill that hits enemies. Ignites caused by Supported Skills spread to other Enemies within (1.4-2) metres</t>
  </si>
  <si>
    <t>Supported Skills deal (15-24)% more Damage with Ignite</t>
  </si>
  <si>
    <t>O5</t>
  </si>
  <si>
    <t>Increased Area of Effect Support</t>
  </si>
  <si>
    <t>Supports any skill with an area of effect.</t>
  </si>
  <si>
    <t>Supported Skills have (30-49)% increased Area of Effect</t>
  </si>
  <si>
    <t>P5</t>
  </si>
  <si>
    <t>Increased Critical Damage Support</t>
  </si>
  <si>
    <t>Supported Skills have +(100-138)% to Critical Strike Multiplier</t>
  </si>
  <si>
    <t>Q5</t>
  </si>
  <si>
    <t>Increased Critical Strikes Support</t>
  </si>
  <si>
    <t>Supported Skills have (60-117)% increased Critical Strike Chance
Supported Skills have +2% to Critical Strike Chance</t>
  </si>
  <si>
    <t>R5</t>
  </si>
  <si>
    <t>Infused Channelling Support</t>
  </si>
  <si>
    <t>Support, Channelling</t>
  </si>
  <si>
    <t>Channelling</t>
  </si>
  <si>
    <t>Channel</t>
  </si>
  <si>
    <t>Supports any channelling skill, protecting you from damage while you channel it. Cannot modify the skills of minions. While Channelling a Supported Skill, take 12% less Damage from Hits</t>
  </si>
  <si>
    <t>Supported Skills deal (20-29)% more Damage</t>
  </si>
  <si>
    <t>S5</t>
  </si>
  <si>
    <t>Lightning Penetration Support</t>
  </si>
  <si>
    <t>Supports any skill that hits enemies, making those hits penetrate enemy lightning resistance.</t>
  </si>
  <si>
    <t>Supported Skills Penetrate (20-34)% Lightning Resistance</t>
  </si>
  <si>
    <t>T5</t>
  </si>
  <si>
    <t>Minion Damage Support</t>
  </si>
  <si>
    <t>Support, Minion</t>
  </si>
  <si>
    <t>Supports skills which create Minions.</t>
  </si>
  <si>
    <t>Minions from Supported Skills deal (25-39)% more Damage
Minions from Supported Skills have 25% less Maximum Life</t>
  </si>
  <si>
    <t>U5</t>
  </si>
  <si>
    <t>Minion Speed Support</t>
  </si>
  <si>
    <t>Movement, Support, Minion</t>
  </si>
  <si>
    <t>Movement, Minion</t>
  </si>
  <si>
    <t>Supported Skills have (25-34)% increased Minion Attack Speed
Supported Skills have (25-34)% increased Minion Cast Speed
Supported Skills have (25-44)% increased Minion Movement Speed</t>
  </si>
  <si>
    <t>V5</t>
  </si>
  <si>
    <t>Physical to Lightning Support</t>
  </si>
  <si>
    <t>Lightning, Physical, Support</t>
  </si>
  <si>
    <t>Lightning, Physical</t>
  </si>
  <si>
    <t>Supported Skills gain (10-29)% of Physical Damage as Extra Lightning Damage
Supported Skills have 50% of Physical Damage Converted to Lightning Damage</t>
  </si>
  <si>
    <t>W5</t>
  </si>
  <si>
    <t>Spell Cascade Support</t>
  </si>
  <si>
    <t>AoE, Spell, Support</t>
  </si>
  <si>
    <t>Supports spell skills that apply an effect to an area around a targeted location. Cannot support Vaal skills or skills used by totems, traps, or mines. Cannot modify the skills of minions.</t>
  </si>
  <si>
    <t>Supported Skills have (25-16)% less Area of Effect
Supported Skills deal (40-31)% less Damage
Supported Area of Effect Skills also affect areas in front of and behind the targeted area</t>
  </si>
  <si>
    <t>X5</t>
  </si>
  <si>
    <t>Spell Echo Support</t>
  </si>
  <si>
    <t>Spell, Support</t>
  </si>
  <si>
    <t>k</t>
  </si>
  <si>
    <t>Supports spell skills, making them repeat when cast. Cannot support Vaal skills, totem skills, channelling skills, triggered skills, instant skills, retaliation skills, blink skills, or skills with a reservation.</t>
  </si>
  <si>
    <t>Supported Skills Repeat an additional time
Supported Skills have (40-54)% more Cast Speed</t>
  </si>
  <si>
    <t>Y5</t>
  </si>
  <si>
    <t>Trinity Support</t>
  </si>
  <si>
    <t>y</t>
  </si>
  <si>
    <t>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t>
  </si>
  <si>
    <t>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t>
  </si>
  <si>
    <t>Z5</t>
  </si>
  <si>
    <t>Unleash Support</t>
  </si>
  <si>
    <t>q</t>
  </si>
  <si>
    <t>Supports spell skills, making their effect reoccur when cast. Cannot support skills with cooldowns, triggered skills, Brand skills, Vaal skills, channelling skills, skills with a reservation, or skills used by totems, traps, or mines. Cannot modify the skills of minions.</t>
  </si>
  <si>
    <t>Supported Spells gain a Seal every (0.90-0.71) seconds, to a maximum of 3 Seals
Supported Spells are Unsealed when cast, and their effects Reoccur for each Seal lost
Supported Skills deal (45-36)% less Damage when Reoccurring</t>
  </si>
  <si>
    <t>항목</t>
  </si>
  <si>
    <t>값</t>
  </si>
  <si>
    <t>설명</t>
  </si>
  <si>
    <t>비고</t>
  </si>
  <si>
    <t>Active Gem parsed</t>
  </si>
  <si>
    <t>SKILL 시트에서 파싱한 액티브 젬 수</t>
  </si>
  <si>
    <t>Support Gem parsed</t>
  </si>
  <si>
    <t>SUPPORT 시트에서 파싱한 보조 젬 수</t>
  </si>
  <si>
    <t>원본 보존</t>
  </si>
  <si>
    <t>YES</t>
  </si>
  <si>
    <t>SKILL / SUPPORT 원본 시트는 삭제하지 않음</t>
  </si>
  <si>
    <t>추가 시트</t>
  </si>
  <si>
    <t>PARSED_ACTIVE</t>
  </si>
  <si>
    <t>액티브 젬 구조화 결과</t>
  </si>
  <si>
    <t>PARSED_SUPPORT</t>
  </si>
  <si>
    <t>보조 젬 구조화 결과</t>
  </si>
  <si>
    <t>주의</t>
  </si>
  <si>
    <t>자동 파싱</t>
  </si>
  <si>
    <t>Wiki 원문 형태가 불규칙한 경우 일부 컬럼은 보정 필요</t>
  </si>
  <si>
    <t>RawText 보존</t>
  </si>
  <si>
    <t>보정</t>
  </si>
  <si>
    <t>SKILL!A2는 이름 줄이 누락되어 설명 기반으로 Anger로 보정</t>
  </si>
  <si>
    <t>SUPPORT!G1 첫 글자 누락 추정값을 보정</t>
  </si>
  <si>
    <t>Archetype</t>
  </si>
  <si>
    <t>AI_CombatRole</t>
  </si>
  <si>
    <t>DefenseConversion</t>
  </si>
  <si>
    <t>Casts an aura that adds fire damage to the attacks and spells of you and your...</t>
  </si>
  <si>
    <t>+(0-1.9) metres to radius
You and nearby allies deal (16-109) to (23-155) add...</t>
  </si>
  <si>
    <t>Aura, Spell, AoE, Fire
Level: (1-20)
Reservation: 50% Mana
Cooldown Time: 1.2...</t>
  </si>
  <si>
    <t>Aura Buff / Debuff Field</t>
  </si>
  <si>
    <t>Buff/Aura / Wave Clear</t>
  </si>
  <si>
    <t>주변 타워/아군에게 지속 버프를 주거나 적에게 약화 효과를 주는 지원형 오라 스킬</t>
  </si>
  <si>
    <t>Smashes the ground, dealing damage in an area and cracking the earth. The cra...</t>
  </si>
  <si>
    <t>Base duration is 1.00 second
Aftershock deals 150% more Damage with Hits and ...</t>
  </si>
  <si>
    <t>Earthquake
Attack, AoE, Melee, Duration, Slam
Level: (1-20)
Cost: (10-13) Man...</t>
  </si>
  <si>
    <t>Melee Slam Area Attack</t>
  </si>
  <si>
    <t>Damage over Time / Wave Clear</t>
  </si>
  <si>
    <t>타워 주변 또는 전방 부채꼴 범위에 충격파를 발생시키는 근접 광역 스킬</t>
  </si>
  <si>
    <t>Critical Strike Chance: 6.00% Releases several tendrils of blood from your ch...</t>
  </si>
  <si>
    <t>Deals (17-1193) to (25-1789) Physical Damage
Deals (26.9-1534.2) Base Physica...</t>
  </si>
  <si>
    <t>Exsanguinate
Spell, Chaining, Physical, Duration
Level: (1-20)
Cost: (16-46) ...</t>
  </si>
  <si>
    <t>Direct Spell</t>
  </si>
  <si>
    <t>Wave Clear</t>
  </si>
  <si>
    <t>기본 공격/유틸 효과를 디펜스 게임용 타워 또는 영웅 스킬로 변환</t>
  </si>
  <si>
    <t>Slams the ground in front of you, creating a wave that travels forward and da...</t>
  </si>
  <si>
    <t>25% reduced Enemy Stun Threshold
+(0-1) metre to radius
Deals up to (40-49)% ...</t>
  </si>
  <si>
    <t>Ground Slam
Attack, AoE, Melee, Slam
Level: (1-20)
Cost: (6-11) Mana
Attack S...</t>
  </si>
  <si>
    <t>Crowd Control / Wave Clear</t>
  </si>
  <si>
    <t>Base Burning Damage is 25% of Overkill Damage Buff grants (15-20)% of your Ph...</t>
  </si>
  <si>
    <t>Grants a buff providing fire damage based on your physical damage. While you ...</t>
  </si>
  <si>
    <t>Herald of Ash
Spell, AoE, Fire, Herald, Duration
Level: (1-20)
Reservation: 2...</t>
  </si>
  <si>
    <t>Reserved Self-Buff / Herald</t>
  </si>
  <si>
    <t>Buff/Aura / Damage over Time / Wave Clear</t>
  </si>
  <si>
    <t>Infuses your melee weapon with molten energies to attack with physical and fi...</t>
  </si>
  <si>
    <t>Fires 4 Projectiles
60% of Physical Damage Converted to Fire Damage
Projectil...</t>
  </si>
  <si>
    <t>Molten Strike
Attack, Projectile, AoE, Melee, Strike, Fire
Level: (1-20)
Cost...</t>
  </si>
  <si>
    <t>Melee Projectile Hybrid</t>
  </si>
  <si>
    <t>지정 방향/라인으로 투사체를 발사하는 Fire 원거리 타워 스킬</t>
  </si>
  <si>
    <t>Casts an aura that causes nearby enemies to take more physical damage. raisin...</t>
  </si>
  <si>
    <t>+(0-1) metre to radius
Nearby Enemies take at least (15-19)% more Physical Da...</t>
  </si>
  <si>
    <t>Pride
Spell, AoE, Aura, Physical
Level: (1-20)
Reservation: 50% Mana
Cooldown...</t>
  </si>
  <si>
    <t>Critical Strike Chance: 6.00% A bloody scythe swipes across a selected area, ...</t>
  </si>
  <si>
    <t>Deals (57-943) to (86-1414) Physical Damage
Deals (138.2-2002.5) Base Physica...</t>
  </si>
  <si>
    <t>Reap
Spell, Physical, AoE, Duration
Level: (1-20)
Cost: (25-46) Life
Cast Tim...</t>
  </si>
  <si>
    <t>Area Duration / DoT Spell</t>
  </si>
  <si>
    <t>바닥 장판을 생성해 일정 시간 동안 지속 피해와 지역 제어를 제공하는 스킬</t>
  </si>
  <si>
    <t>Performs a melee attack, and causes lightning to strike a nearby enemy, deali...</t>
  </si>
  <si>
    <t>50% of Physical Damage Converted to Lightning Damage
Base duration is 4.00 se...</t>
  </si>
  <si>
    <t>Smite
Lightning, Melee, Attack, AoE, Duration, Strike, Aura
Level: (1-20)
Cos...</t>
  </si>
  <si>
    <t>Persistent Minion Summon</t>
  </si>
  <si>
    <t>Crowd Control / Damage over Time / Autonomous DPS</t>
  </si>
  <si>
    <t>일정 시간 또는 지속적으로 소환체를 생성해 경로 위 적을 자동 공격하는 소환형 타워 스킬</t>
  </si>
  <si>
    <t>Melee Area Attack</t>
  </si>
  <si>
    <t>Temporary Object Minion Summon</t>
  </si>
  <si>
    <t>Damage over Time / Autonomous DPS</t>
  </si>
  <si>
    <t>Bow Projectile Attack</t>
  </si>
  <si>
    <t>Lane Clear</t>
  </si>
  <si>
    <t>지정 방향/라인으로 투사체를 발사하는 Physical/Elemental 원거리 타워 스킬</t>
  </si>
  <si>
    <t>Bow Area Rain / Ground DoT</t>
  </si>
  <si>
    <t>Damage over Time / Lane Clear</t>
  </si>
  <si>
    <t>Chaining Projectile</t>
  </si>
  <si>
    <t>적 사이를 연쇄 타격하는 Chaos 체인 투사체 타워</t>
  </si>
  <si>
    <t>Movement / Mobility Skill</t>
  </si>
  <si>
    <t>Wave Clear / Mobility</t>
  </si>
  <si>
    <t>영웅 유닛의 위치 이동, 회피, 진입 패턴으로 사용하는 이동형 액티브 스킬</t>
  </si>
  <si>
    <t>Critical Strike Chance: 6.00% Targets a corpse, and deals spell damage to ene...</t>
  </si>
  <si>
    <t>Detonate Dead
Spell, AoE, Fire
Level: (1-20)
Cost: (5-20) Mana
Cast Time: 0.6...</t>
  </si>
  <si>
    <t>Area Spell</t>
  </si>
  <si>
    <t>지정 범위에 즉발 광역 피해를 주는 캐스터형 타워 스킬</t>
  </si>
  <si>
    <t>Explosion deals 50% less Base Damage Explosion deals 6% more Damage with Hits...</t>
  </si>
  <si>
    <t>Fires an arrow which will stick into an enemy or wall, and then explode, deal...</t>
  </si>
  <si>
    <t>Explosive Arrow
Attack, Projectile, AoE, Duration, Fire, Bow
Level: (1-20)
Co...</t>
  </si>
  <si>
    <t>Throws a bottle that explodes to deal unarmed attack damage in an area. Can c...</t>
  </si>
  <si>
    <t>(65-806) to (98-1210) Added Fire Damage
+6% to Critical Strike Chance
Base ra...</t>
  </si>
  <si>
    <t>Explosive Concoction
Attack, AoE, Fire, Cold, Lightning, Projectile
Level: (1...</t>
  </si>
  <si>
    <t>Explosive Projectile</t>
  </si>
  <si>
    <t>직선 투사체가 명중 지점에서 폭발해 범위 피해를 주는 Fire, Cold, Lightning 스플래시 타워</t>
  </si>
  <si>
    <t>Teleports the character to a nearby monster and attacks with a melee weapon. ...</t>
  </si>
  <si>
    <t>Base duration is 3.00 seconds
10% increased Attack Speed per Frenzy Charge
15...</t>
  </si>
  <si>
    <t>Flicker Strike
Attack, Melee, Strike, Movement, Duration
Level: (1-20)
Cost: ...</t>
  </si>
  <si>
    <t>Damage over Time / Single Target / Mobility</t>
  </si>
  <si>
    <t>Attack enemies with increased range, releasing icy blades from the first enem...</t>
  </si>
  <si>
    <t>Fires (5-8) Projectiles
60% of Physical Damage Converted to Cold Damage
+(1.8...</t>
  </si>
  <si>
    <t>Frost Blades
Attack, Projectile, Melee, Strike, Cold
Level: (1-20)
Cost: (6-1...</t>
  </si>
  <si>
    <t>Lane Clear / Single Target</t>
  </si>
  <si>
    <t>지정 방향/라인으로 투사체를 발사하는 Cold 원거리 타워 스킬</t>
  </si>
  <si>
    <t>Fire a trio of electrical arrows that quickly dissipate, vanishing shortly af...</t>
  </si>
  <si>
    <t>50% of Physical Damage Converted to Lightning Damage
Fires 3 Arrows
+(0-0.5) ...</t>
  </si>
  <si>
    <t>Galvanic Arrow
Lightning, Attack, Projectile, AoE, Bow
Level: (1-20)
Cost: (6...</t>
  </si>
  <si>
    <t>지정 방향/라인으로 투사체를 발사하는 Lightning 원거리 타워 스킬</t>
  </si>
  <si>
    <t>Casts an aura that increases the movement speed, attack speed and cast speed ...</t>
  </si>
  <si>
    <t>+(0-1.9) metres to radius
You and nearby allies gain (10-16)% increased Movem...</t>
  </si>
  <si>
    <t>Haste
Aura, Spell, AoE
Level: (1-20)
Reservation: 50% Mana
Cooldown Time: 1.2...</t>
  </si>
  <si>
    <t>Casts an aura that grants extra cold damage based on physical damage to you a...</t>
  </si>
  <si>
    <t>+(0-1.9) metres to radius
You and nearby allies gain (30-39)% of Physical Dam...</t>
  </si>
  <si>
    <t>Hatred
Aura, Spell, AoE, Cold
Level: (1-20)
Reservation: 50% Mana
Cooldown Ti...</t>
  </si>
  <si>
    <t>Buff grants 20% chance to Poison on Hit Agony Crawler has (2-4)% increased At...</t>
  </si>
  <si>
    <t>Grants a buff giving more poison damage and a chance to inflict poison. When ...</t>
  </si>
  <si>
    <t>Herald of Agony
Spell, Herald, Minion, Chaos, Physical
Level: (1-20)
Reservat...</t>
  </si>
  <si>
    <t>Buff/Aura / Damage over Time</t>
  </si>
  <si>
    <t>Grants a buff adding cold damage to spells and attacks. If you shatter an ene...</t>
  </si>
  <si>
    <t>Herald of Ice
Spell, AoE, Cold, Herald
Level: (1-20)
Reservation: 25% Mana
Co...</t>
  </si>
  <si>
    <t>Fires an arrow that converts some physical damage to cold on its target and c...</t>
  </si>
  <si>
    <t>Ice Shot
Attack, Projectile, AoE, Cold, Bow
Level: (1-20)
Cost: (6-10) Mana
A...</t>
  </si>
  <si>
    <t>Slashes twice, releasing waves of force that damage enemies they hit. Enemies...</t>
  </si>
  <si>
    <t>+(0-0.9) metres to radius
(50-88)% more Damage with Bleeding while in Blood S...</t>
  </si>
  <si>
    <t>Lacerate
Attack, AoE, Melee, Physical
Level: (1-20)
Cost: (10-17) Mana
Attack...</t>
  </si>
  <si>
    <t>Fires a charged arrow which damages enemies by causing them to be struck by a...</t>
  </si>
  <si>
    <t>Lightning Arrow
Attack, AoE, Projectile, Lightning, Bow
Level: (1-20)
Cost: (...</t>
  </si>
  <si>
    <t>Infuses your melee weapon with electrical energies as you swing. In addition ...</t>
  </si>
  <si>
    <t>50% of Physical Damage Converted to Lightning Damage
Fires 3 Projectiles
Proj...</t>
  </si>
  <si>
    <t>Lightning Strike
Attack, Projectile, Melee, Strike, Lightning
Level: (1-20)
C...</t>
  </si>
  <si>
    <t>Throws a bottle that explodes to deal unarmed attack damage in an area and ha...</t>
  </si>
  <si>
    <t>(22-537) to (33-806) Added Chaos Damage
40% chance to Poison on Hit
+6% to Cr...</t>
  </si>
  <si>
    <t>Poisonous Concoction
Attack, AoE, Chaos, Projectile
Level: (1-20)
Cost: (5-9)...</t>
  </si>
  <si>
    <t>직선 투사체가 명중 지점에서 폭발해 범위 피해를 주는 Chaos 스플래시 타워</t>
  </si>
  <si>
    <t>Casts an aura that grants accuracy and critical strike chance to you and your...</t>
  </si>
  <si>
    <t>+(0-1.9) metres to radius
You and nearby allies gain (20-58)% increased Criti...</t>
  </si>
  <si>
    <t>Precision
Aura, Critical, Spell, AoE
Level: (1-20)
Reservation: (22-186) Mana...</t>
  </si>
  <si>
    <t>Fires multiple arrows into the air, to land in sequence after a delay, starti...</t>
  </si>
  <si>
    <t>Rain of Arrows
Attack, AoE, Projectile, Bow
Level: (1-20)
Cost: (6-10) Mana
A...</t>
  </si>
  <si>
    <t>Channel to infuse an arrow with chaos, gaining stages while it is held. Relea...</t>
  </si>
  <si>
    <t>Arrows Pierce all Targets
60% of Physical Damage Converted to Chaos Damage
15...</t>
  </si>
  <si>
    <t>Scourge Arrow
Attack, Projectile, Channelling, Chaos, Bow
Level: (1-20)
Cost:...</t>
  </si>
  <si>
    <t>Channelling Damage Skill</t>
  </si>
  <si>
    <t>Fires a piercing shot that travels until it reaches the targeted location. It...</t>
  </si>
  <si>
    <t>Tornado Shot
Attack, Projectile, Bow
Level: (1-20)
Cost: (9-13) Mana
Attack S...</t>
  </si>
  <si>
    <t>Fire arrows into the air that rain down around the targeted area, dealing dam...</t>
  </si>
  <si>
    <t>Deals (8-238) Base Chaos Damage per second
Base duration is 1.00 second
Fires...</t>
  </si>
  <si>
    <t>Toxic Rain
Attack, AoE, Chaos, Duration, Projectile, Bow
Level: (1-20)
Cost: ...</t>
  </si>
  <si>
    <t>Crowd Control / Damage over Time / Wave Clear</t>
  </si>
  <si>
    <t>지정 방향/라인으로 투사체를 발사하는 Chaos 원거리 타워 스킬</t>
  </si>
  <si>
    <t>Critical Strike Chance: 6.00% An arc of lightning reaches from the caster to ...</t>
  </si>
  <si>
    <t>Arc
Spell, Chaining, Lightning
Level: (1-20)
Cost: (8-23) Mana
Cast Time: 0.7...</t>
  </si>
  <si>
    <t>Fires a slow-moving projectile that damages each enemy in an area around it r...</t>
  </si>
  <si>
    <t>Ball Lightning
Spell, Projectile, AoE, Lightning
Level: (1-20)
Cost: (12-23) ...</t>
  </si>
  <si>
    <t>Projectile Skill</t>
  </si>
  <si>
    <t>Apply a debuff to enemies in front of you which deals chaos damage over time....</t>
  </si>
  <si>
    <t>Deals (5.9-421.5) Base Chaos Damage per second
Base duration is 2.00 seconds
...</t>
  </si>
  <si>
    <t>Blight
Spell, Chaos, AoE, Channelling, Duration
Level: (1-20)
Cost: (2-5) Man...</t>
  </si>
  <si>
    <t>Buff/Aura / Crowd Control / Damage over Time / Wave Clear</t>
  </si>
  <si>
    <t>Fires projectiles which fly in an arc, dealing area damage on impact with eit...</t>
  </si>
  <si>
    <t>Blazing Salvo
Spell, AoE, Fire, Projectile
Level: (1-20)
Cost: (8-23) Mana
Ca...</t>
  </si>
  <si>
    <t>Fires a single eye projectile which constantly releases shard projectiles in ...</t>
  </si>
  <si>
    <t>Eye of Winter
Spell, Projectile, Cold
Level: (1-20)
Cost: (14-26) Mana
Cast T...</t>
  </si>
  <si>
    <t>Critical Strike Chance: 6.00% Unleashes a ball of fire towards a target which...</t>
  </si>
  <si>
    <t>Deals (9-1640) to (14-2460) Fire Damage
25% chance to Ignite enemies
Base rad...</t>
  </si>
  <si>
    <t>Fireball
Projectile, Spell, AoE, Fire
Level: (1-20)
Cost: (6-25) Mana
Cast Ti...</t>
  </si>
  <si>
    <t>Critical Strike Chance: 6.00% Lobs an exploding projectile near the targeted ...</t>
  </si>
  <si>
    <t>Deals (15-498) to (22-747) Chaos Damage
Deals 5% of your maximum Energy Shiel...</t>
  </si>
  <si>
    <t>Forbidden Rite
Spell, AoE, Chaos, Projectile
Level: (1-20)
Cost: (8-21) Mana
...</t>
  </si>
  <si>
    <t>Critical Strike Chance: 6.00% An icy projectile which has a chance to freeze ...</t>
  </si>
  <si>
    <t>Deals (8-1458) to (12-2188) Cold Damage
Projectiles Pierce all Targets
Projec...</t>
  </si>
  <si>
    <t>Freezing Pulse
Spell, Projectile, Cold
Level: (1-20)
Cost: (5-21) Mana
Cast T...</t>
  </si>
  <si>
    <t>Crowd Control / Lane Clear</t>
  </si>
  <si>
    <t>Grants a buff which adds lightning damage to spells and attacks. If you kill ...</t>
  </si>
  <si>
    <t>Herald of Thunder
Spell, AoE, Duration, Lightning, Herald
Level: (1-20)
Reser...</t>
  </si>
  <si>
    <t>Kinetic Blast creates 4 additional explosions Increases and Reductions to Spe...</t>
  </si>
  <si>
    <t>Fires a projectile from a Wand that causes a series of area explosions in a s...</t>
  </si>
  <si>
    <t>Kinetic Blast
Attack, Projectile, AoE
Level: (1-20)
Cost: (6-9) Mana
Attack S...</t>
  </si>
  <si>
    <t>직선 투사체가 명중 지점에서 폭발해 범위 피해를 주는 Physical/Elemental 스플래시 타워</t>
  </si>
  <si>
    <t>Totem Deployment</t>
  </si>
  <si>
    <t>별도 공격 오브젝트를 설치해 일정 범위를 대신 공격하는 설치형 타워 스킬</t>
  </si>
  <si>
    <t>Minion Summon</t>
  </si>
  <si>
    <t>Autonomous DPS</t>
  </si>
  <si>
    <t>ModifierCategory</t>
  </si>
  <si>
    <t>Affects</t>
  </si>
  <si>
    <t>RestrictionSummary</t>
  </si>
  <si>
    <t>DefenseModifier</t>
  </si>
  <si>
    <t>Damage Multiplier / Resource / Cost</t>
  </si>
  <si>
    <t>Fire, Physical, Hit Skills</t>
  </si>
  <si>
    <t>supports any skill that hits enemies.</t>
  </si>
  <si>
    <t>조건에 맞는 스킬 피해량을 직접 증폭하는 기본 화력 보조</t>
  </si>
  <si>
    <t>Resource / Cost / Restriction / Tradeoff</t>
  </si>
  <si>
    <t>supported skills deal no chaos damage; supported skills deal no elemental damage</t>
  </si>
  <si>
    <t>지원 조건에 맞는 스킬에 범용 보정 효과 부여</t>
  </si>
  <si>
    <t>Ailment Application / Resource / Cost</t>
  </si>
  <si>
    <t>Fire, Hit Skills</t>
  </si>
  <si>
    <t>supports any skill that hits enemies, or can deal burning damage directly.</t>
  </si>
  <si>
    <t>상태이상 확률 또는 상태이상 피해를 강화해 CC/DoT 빌드 지원</t>
  </si>
  <si>
    <t>Damage Multiplier / Ailment Application / Resource / Cost</t>
  </si>
  <si>
    <t>Attack, Physical</t>
  </si>
  <si>
    <t>supports attack skills.</t>
  </si>
  <si>
    <t>Damage Multiplier / Element Conversion / Resource / Cost</t>
  </si>
  <si>
    <t>Fire, Cold, Hit Skills</t>
  </si>
  <si>
    <t>기본 피해 속성을 다른 속성으로 변환하거나 추가 속성 피해를 부여</t>
  </si>
  <si>
    <t>Damage Multiplier / Duration / DoT / Resource / Cost / Restriction / Tradeoff</t>
  </si>
  <si>
    <t>Minion, Duration, Hit Skills</t>
  </si>
  <si>
    <t>supports any skill that hits enemies. minions cannot gain cruelty. (0-19)% increased effect of cruelty granted by supported skills</t>
  </si>
  <si>
    <t>장판/지속 피해/버프 지속시간을 늘려 지역 제어 성능 강화</t>
  </si>
  <si>
    <t>Resource / Cost</t>
  </si>
  <si>
    <t>Damage Multiplier / Resource / Cost / Charge / Resource Gain</t>
  </si>
  <si>
    <t>supports melee attack skills. gain an endurance charge when you stun an enemy with a melee hit from supported skills</t>
  </si>
  <si>
    <t>조건부 자원/스택을 생성해 강화 루프 또는 보상형 업그레이드 구성</t>
  </si>
  <si>
    <t>Penetration / Resistance / Resource / Cost</t>
  </si>
  <si>
    <t>supports any skill that hits enemies, making those hits penetrate enemy fire resistance.</t>
  </si>
  <si>
    <t>특정 속성 저항을 무시해 고저항 적/보스 대응력을 증가</t>
  </si>
  <si>
    <t>Duration</t>
  </si>
  <si>
    <t>supports attack skills, or other skills that can maim enemies.</t>
  </si>
  <si>
    <t>Damage Multiplier / Ailment Application / Speed / Frequency / Resource / Cost / Restriction / Tradeoff</t>
  </si>
  <si>
    <t>Attack, Melee, Physical, Hit Skills</t>
  </si>
  <si>
    <t>supports melee attack skills.</t>
  </si>
  <si>
    <t>Duration / DoT / Resource / Cost</t>
  </si>
  <si>
    <t>Damage Multiplier / Speed / Frequency / Resource / Cost / Restriction / Tradeoff</t>
  </si>
  <si>
    <t>supports melee attack skills, making them repeat twice when used, targeting a random enemy each time. cannot support vaal skills, channelling skills, travel skills, retaliation skills or triggered skills.</t>
  </si>
  <si>
    <t>공격 주기 또는 시전 속도를 변경해 DPS와 발동 빈도 조정</t>
  </si>
  <si>
    <t>Area / Radius / Speed / Frequency / Resource / Cost / Restriction / Tradeoff</t>
  </si>
  <si>
    <t>Attack, Melee, AoE</t>
  </si>
  <si>
    <t>공격 범위 또는 폭발 반경을 변경해 웨이브 클리어 성능 조정</t>
  </si>
  <si>
    <t>Damage Multiplier / Duration / DoT / Resource / Cost / Charge / Resource Gain / Restriction / Tradeoff</t>
  </si>
  <si>
    <t>Attack, Melee, Duration, Hit Skills</t>
  </si>
  <si>
    <t>supports melee strike or slam skills. every third time you use a supported attack, that use of the skill will be more powerful. ruthless blows with supported skills deal (70-98)% more melee damage ruthless blows with supported skills deal (70-98)% more damage with ruthless blows with supported skills have a base stun duration of 0.8 seconds</t>
  </si>
  <si>
    <t>Ailment Application / Area / Radius / Resource / Cost / Restriction / Tradeoff</t>
  </si>
  <si>
    <t>Attack, Melee, Minion, AoE</t>
  </si>
  <si>
    <t>supports melee attack skills. cannot support triggered attacks, attacks used by things other than you, or skills which create minions.</t>
  </si>
  <si>
    <t>Generic Modifier</t>
  </si>
  <si>
    <t>Hit Skills</t>
  </si>
  <si>
    <t>supports any skill that hits enemies, making it easier to stun enemies with those skills.</t>
  </si>
  <si>
    <t>Cold, Hit Skills</t>
  </si>
  <si>
    <t>Projectile Behavior / Resource / Cost / Restriction / Tradeoff</t>
  </si>
  <si>
    <t>Attack, Projectile, Minion, Bow, Fire</t>
  </si>
  <si>
    <t>supports projectile attack skills that use bows or wands. cannot support triggered skills, channelled skills, or skills that create minions.</t>
  </si>
  <si>
    <t>타워 발사체의 관통/연쇄/분열/다중 발사 등 궤적 규칙을 변경</t>
  </si>
  <si>
    <t>Projectile, Hit Skills</t>
  </si>
  <si>
    <t>Chaos, Hit Skills</t>
  </si>
  <si>
    <t>supports any skill that hits enemies, making those hits penetrate enemy cold resistance.</t>
  </si>
  <si>
    <t>supports any skill that hits enemies. if enemies are left below 10% of maximum life after being hit by these skills, they will be killed. kill enemies that have 10% life or lower when hit by supported skills</t>
  </si>
  <si>
    <t>Damage Multiplier / Resource / Cost / Restriction / Tradeoff</t>
  </si>
  <si>
    <t>Speed / Frequency / Resource / Cost</t>
  </si>
  <si>
    <t>Projectile Behavior / Speed / Frequency / Resource / Cost</t>
  </si>
  <si>
    <t>Projectile Behavior / Resource / Cost</t>
  </si>
  <si>
    <t>Projectile, Fire</t>
  </si>
  <si>
    <t>Damage Multiplier / Ailment Application / Duration / DoT / Resource / Cost</t>
  </si>
  <si>
    <t>Duration / DoT / Speed / Frequency / Resource / Cost / Restriction / Tradeoff</t>
  </si>
  <si>
    <t>Attack, Minion, Bow, Duration</t>
  </si>
  <si>
    <t>supports attack skills that can be used with bows. supported skills can only be used with bows. cannot support vaal skills, minion skills, movement skills, or skills used by totems, traps, or mines. when you hit an enemy with an arrow from a supported skill, summon a mirage archer which uses that skill mirage archer can use triggered attacks as though they were not triggered mirage archer uses supported skill with 60% less attack speed mirage archer deals (40-31)% less damage with supported skills</t>
  </si>
  <si>
    <t>Projectile Behavior / Speed / Frequency / Resource / Cost / Restriction / Tradeoff</t>
  </si>
  <si>
    <t>Projectile Behavior / Duration / DoT / Speed / Frequency / Resource / Cost / Restriction / Tradeoff</t>
  </si>
  <si>
    <t>Attack, Projectile, Chaos, Physical</t>
  </si>
  <si>
    <t>supported skills deal no elemental damage</t>
  </si>
  <si>
    <t>Lightning, Hit Skills</t>
  </si>
  <si>
    <t>Penetration / Resistance / Ailment Application / Resource / Cost</t>
  </si>
  <si>
    <t>Area / Radius / Resource / Cost / Restriction / Tradeoff</t>
  </si>
  <si>
    <t>Attack, Spell</t>
  </si>
  <si>
    <t>supports attack skills, or spell skills that deal damage.</t>
  </si>
  <si>
    <t>Damage Multiplier / Duration / DoT / Resource / Cost</t>
  </si>
  <si>
    <t>Any Supported Skill</t>
  </si>
  <si>
    <t>supported skills cannot inflict elemental ailments; supports any skill that hits or burns enemies, or inflicts elemental ailments.</t>
  </si>
  <si>
    <t>Ailment Application / Duration / DoT / Resource / Cost</t>
  </si>
  <si>
    <t>Fire, Cold, Lightning, Duration, AoE, Hit Skills</t>
  </si>
  <si>
    <t>supports any skill that hits enemies, or could otherwise apply elemental ailments. elemental ailments inflicted by supported skills spread to other enemies within (1.2-1.5) metres</t>
  </si>
  <si>
    <t>Fire, AoE, Hit Skills</t>
  </si>
  <si>
    <t>supports any skill that hits enemies. ignites caused by supported skills spread to other enemies within (1.4-2) metres</t>
  </si>
  <si>
    <t>Area / Radius / Resource / Cost</t>
  </si>
  <si>
    <t>supports any channelling skill, protecting you from damage while you channel it. cannot modify the skills of minions. while channelling a supported skill, take 12% less damage from hits</t>
  </si>
  <si>
    <t>supports any skill that hits enemies, making those hits penetrate enemy lightning resistance.</t>
  </si>
  <si>
    <t>Attack, Minion</t>
  </si>
  <si>
    <t>Lightning, Physical, Hit Skills</t>
  </si>
  <si>
    <t>Spell, Minion, AoE</t>
  </si>
  <si>
    <t>supports spell skills that apply an effect to an area around a targeted location. cannot support vaal skills or skills used by totems, traps, or mines. cannot modify the skills of minions.</t>
  </si>
  <si>
    <t>Speed / Frequency / Resource / Cost / Restriction / Tradeoff</t>
  </si>
  <si>
    <t>supports spell skills, making them repeat when cast. cannot support vaal skills, totem skills, channelling skills, triggered skills, instant skills, retaliation skills, blink skills, or skills with a reservation.</t>
  </si>
  <si>
    <t>Damage Multiplier / Penetration / Resistance / Resource / Cost / Restriction / Tradeoff</t>
  </si>
  <si>
    <t>Minion, Hit Skills</t>
  </si>
  <si>
    <t>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t>
  </si>
  <si>
    <t>supports spell skills, making their effect reoccur when cast. cannot support skills with cooldowns, triggered skills, brand skills, vaal skills, channelling skills, skills with a reservation, or skills used by totems, traps, or mines. cannot modify the skills of minions.</t>
  </si>
  <si>
    <t>Section</t>
  </si>
  <si>
    <t>Metric</t>
  </si>
  <si>
    <t>Count</t>
  </si>
  <si>
    <t>Note</t>
  </si>
  <si>
    <t>Total Active Skills</t>
  </si>
  <si>
    <t>DESIGN_ACTIVE rows</t>
  </si>
  <si>
    <t>Total Support Gems</t>
  </si>
  <si>
    <t>DESIGN_SUPPORT rows</t>
  </si>
  <si>
    <t>Top Active Archetypes</t>
  </si>
  <si>
    <t>Top Combat Roles</t>
  </si>
  <si>
    <t>Damage over Time</t>
  </si>
  <si>
    <t>Buff/Aura</t>
  </si>
  <si>
    <t>Crowd Control</t>
  </si>
  <si>
    <t>Single Target</t>
  </si>
  <si>
    <t>Mobility</t>
  </si>
  <si>
    <t>Support Modifier Categories</t>
  </si>
  <si>
    <t>Resource</t>
  </si>
  <si>
    <t>Restriction</t>
  </si>
  <si>
    <t>Tradeoff</t>
  </si>
  <si>
    <t>Damage Multiplier</t>
  </si>
  <si>
    <t>Projectile Behavior</t>
  </si>
  <si>
    <t>Ailment Application</t>
  </si>
  <si>
    <t>DoT</t>
  </si>
  <si>
    <t>Speed</t>
  </si>
  <si>
    <t>Frequency</t>
  </si>
  <si>
    <t>Penetration</t>
  </si>
  <si>
    <t>Resistance</t>
  </si>
  <si>
    <t>Radius</t>
  </si>
  <si>
    <t>Skill</t>
  </si>
  <si>
    <t>OriginalTags</t>
  </si>
  <si>
    <t>PoE_Archetype</t>
  </si>
  <si>
    <t>DefenseSystem</t>
  </si>
  <si>
    <t>DefenseArchetype</t>
  </si>
  <si>
    <t>DefenseRole</t>
  </si>
  <si>
    <t>TargetingRule</t>
  </si>
  <si>
    <t>LaneInteraction</t>
  </si>
  <si>
    <t>CoreMechanic</t>
  </si>
  <si>
    <t>CooldownModel</t>
  </si>
  <si>
    <t>RangeModel</t>
  </si>
  <si>
    <t>CostModel</t>
  </si>
  <si>
    <t>UpgradeHooks</t>
  </si>
  <si>
    <t>Status/Ailment</t>
  </si>
  <si>
    <t>ImplementationNote</t>
  </si>
  <si>
    <t>OriginalDescription</t>
  </si>
  <si>
    <t>OriginalModifierLines</t>
  </si>
  <si>
    <t>Aura Module</t>
  </si>
  <si>
    <t>Support Aura Tower</t>
  </si>
  <si>
    <t>Support / Scaling</t>
  </si>
  <si>
    <t>주변 아군/타워 반경</t>
  </si>
  <si>
    <t>다중 라인 간접 영향</t>
  </si>
  <si>
    <t>범위 내 아군 강화 또는 적 약화</t>
  </si>
  <si>
    <t>지속형, 활성화 후 상시 적용</t>
  </si>
  <si>
    <t>AuraRadius</t>
  </si>
  <si>
    <t>마나/예약은 타워 에너지·유지비로 변환</t>
  </si>
  <si>
    <t>반경 증가, 버프 수치 증가, 속성 특화, 중첩 제한 해제</t>
  </si>
  <si>
    <t>Anger: 범위 내 아군 강화 또는 적 약화. 원본 태그(Aura, Spell, AoE, Fire)를 유지하되, 수치 밸런스는 공격주기/범위/대상수/지속시간으로 환산.</t>
  </si>
  <si>
    <t>Neutral</t>
  </si>
  <si>
    <t>Attack Tower</t>
  </si>
  <si>
    <t>Area Tower</t>
  </si>
  <si>
    <t>Wave Clear / Area Control</t>
  </si>
  <si>
    <t>타워 주변 또는 지정 지점</t>
  </si>
  <si>
    <t>군집 처리/라인 병목 제어</t>
  </si>
  <si>
    <t>범위 안의 적에게 즉발 또는 지연 피해</t>
  </si>
  <si>
    <t>공격 주기 기반</t>
  </si>
  <si>
    <t>마나 비용은 공격 1회 에너지 소모로 변환</t>
  </si>
  <si>
    <t>반경 증가, 중심부 추가 피해, 지연 폭발, 넉백/스턴, Shock 강화</t>
  </si>
  <si>
    <t>Earthquake: 범위 안의 적에게 즉발 또는 지연 피해. 원본 태그(Attack, AoE, Melee, Duration, Slam)를 유지하되, 수치 밸런스는 공격주기/범위/대상수/지속시간으로 환산.</t>
  </si>
  <si>
    <t>Zone Tower</t>
  </si>
  <si>
    <t>Physical DoT Zone Tower</t>
  </si>
  <si>
    <t>DoT / Area Denial</t>
  </si>
  <si>
    <t>지정 지점/경로 위 장판</t>
  </si>
  <si>
    <t>지역 봉쇄/지속 피해</t>
  </si>
  <si>
    <t>장판 또는 디버프를 남겨 지속 피해</t>
  </si>
  <si>
    <t>장판 생성 주기</t>
  </si>
  <si>
    <t>ZoneRadius + Duration</t>
  </si>
  <si>
    <t>지속시간 증가, 중첩 수 증가, 이동속도 감소, 피해 주기 단축</t>
  </si>
  <si>
    <t>Exsanguinate: 장판 또는 디버프를 남겨 지속 피해. 원본 태그(Spell, Chaining, Physical, Duration)를 유지하되, 수치 밸런스는 공격주기/범위/대상수/지속시간으로 환산.</t>
  </si>
  <si>
    <t>반경 증가, 중심부 추가 피해, 지연 폭발, 넉백/스턴, Stun 강화</t>
  </si>
  <si>
    <t>Ground Slam: 범위 안의 적에게 즉발 또는 지연 피해. 원본 태그(Attack, AoE, Melee, Slam)를 유지하되, 수치 밸런스는 공격주기/범위/대상수/지속시간으로 환산.</t>
  </si>
  <si>
    <t>Herald of Ash: 범위 내 아군 강화 또는 적 약화. 원본 태그(Spell, AoE, Fire, Herald, Duration)를 유지하되, 수치 밸런스는 공격주기/범위/대상수/지속시간으로 환산.</t>
  </si>
  <si>
    <t>Fire Projectile Tower</t>
  </si>
  <si>
    <t>Wave Clear / Ranged DPS</t>
  </si>
  <si>
    <t>라인/전방/가장 가까운 적</t>
  </si>
  <si>
    <t>직선 라인 클리어</t>
  </si>
  <si>
    <t>투사체를 발사해 명중/관통/폭발/분열 처리</t>
  </si>
  <si>
    <t>공격 속도 또는 캐스트 타임 기반</t>
  </si>
  <si>
    <t>AttackRange + ProjectileSpeed</t>
  </si>
  <si>
    <t>투사체 수 증가, 관통/체인/분열, 폭발 반경 증가, 속성 상태이상</t>
  </si>
  <si>
    <t>Molten Strike: 투사체를 발사해 명중/관통/폭발/분열 처리. 원본 태그(Attack, Projectile, AoE, Melee, Strike, Fire)를 유지하되, 수치 밸런스는 공격주기/범위/대상수/지속시간으로 환산.</t>
  </si>
  <si>
    <t>Pride: 범위 내 아군 강화 또는 적 약화. 원본 태그(Spell, AoE, Aura, Physical)를 유지하되, 수치 밸런스는 공격주기/범위/대상수/지속시간으로 환산.</t>
  </si>
  <si>
    <t>Reap: 장판 또는 디버프를 남겨 지속 피해. 원본 태그(Spell, Physical, AoE, Duration)를 유지하되, 수치 밸런스는 공격주기/범위/대상수/지속시간으로 환산.</t>
  </si>
  <si>
    <t>반경 증가, 버프 수치 증가, 속성 특화, 중첩 제한 해제, Shock 강화</t>
  </si>
  <si>
    <t>Smite: 범위 내 아군 강화 또는 적 약화. 원본 태그(Lightning, Melee, Attack, AoE, Duration, Strike, Aura)를 유지하되, 수치 밸런스는 공격주기/범위/대상수/지속시간으로 환산.</t>
  </si>
  <si>
    <t>Summon Tower</t>
  </si>
  <si>
    <t>Minion Spawner</t>
  </si>
  <si>
    <t>Summon / Frontline</t>
  </si>
  <si>
    <t>소환수가 자동 타겟팅</t>
  </si>
  <si>
    <t>라인 방어/몸빵/추적</t>
  </si>
  <si>
    <t>주기적으로 소환체를 생성해 전투 지속</t>
  </si>
  <si>
    <t>소환 주기 기반</t>
  </si>
  <si>
    <t>SpawnRange + MinionAggroRange</t>
  </si>
  <si>
    <t>소환 수 증가, 지속시간 증가, 소환체 체력/공격력 강화, 특수 AI</t>
  </si>
  <si>
    <t>Summon Stone Golem: 주기적으로 소환체를 생성해 전투 지속. 원본 태그(Minion, Spell, Golem, Physical)를 유지하되, 수치 밸런스는 공격주기/범위/대상수/지속시간으로 환산.</t>
  </si>
  <si>
    <t>Summons a Stone Golem that grants you life regeneration and defences. In addi...</t>
  </si>
  <si>
    <t>반경 증가, 중심부 추가 피해, 지연 폭발, 넉백/스턴</t>
  </si>
  <si>
    <t>Swordstorm: 범위 안의 적에게 즉발 또는 지연 피해. 원본 태그(Attack, Melee, AoE, Retaliation)를 유지하되, 수치 밸런스는 공격주기/범위/대상수/지속시간으로 환산.</t>
  </si>
  <si>
    <t>Retaliate against a blocked hit with a hail of blades that rains down in fron...</t>
  </si>
  <si>
    <t>Cannot be used by default
Becomes Usable once for 2 seconds when you Block a ...</t>
  </si>
  <si>
    <t>Volcanic Fissure: 투사체를 발사해 명중/관통/폭발/분열 처리. 원본 태그(Melee, Attack, Projectile, AoE, Slam, Fire)를 유지하되, 수치 밸런스는 공격주기/범위/대상수/지속시간으로 환산.</t>
  </si>
  <si>
    <t>Slam the ground, creating a winding fissure that deals area damage while trav...</t>
  </si>
  <si>
    <t>Fires 5 Projectiles
60% of Physical Damage Converted to Fire Damage
Projectil...</t>
  </si>
  <si>
    <t>Animate Weapon: 주기적으로 소환체를 생성해 전투 지속. 원본 태그(Duration, Minion, Spell, Physical)를 유지하되, 수치 밸런스는 공격주기/범위/대상수/지속시간으로 환산.</t>
  </si>
  <si>
    <t>Animates a Melee Weapon Item or Lingering Blade to fight by your side. You ca...</t>
  </si>
  <si>
    <t>Base duration is 40.00 seconds
Maximum (5-14) Animated Weapons
Can use Items ...</t>
  </si>
  <si>
    <t>Projectile Tower</t>
  </si>
  <si>
    <t>Barrage: 투사체를 발사해 명중/관통/폭발/분열 처리. 원본 태그(Attack, Projectile, Bow)를 유지하되, 수치 밸런스는 공격주기/범위/대상수/지속시간으로 환산.</t>
  </si>
  <si>
    <t>After a short preparation time, you fire individual projectiles repeatedly wi...</t>
  </si>
  <si>
    <t>Blade Vortex: 장판 또는 디버프를 남겨 지속 피해. 원본 태그(Spell, AoE, Duration, Physical)를 유지하되, 수치 밸런스는 공격주기/범위/대상수/지속시간으로 환산.</t>
  </si>
  <si>
    <t>Critical Strike Chance: 6.00% This spell creates ethereal blades which orbit ...</t>
  </si>
  <si>
    <t>Deals (3-140) to (5-211) Physical Damage
Base duration is 4.00 seconds
+(0-0....</t>
  </si>
  <si>
    <t>Fire DoT Zone Tower</t>
  </si>
  <si>
    <t>Blast Rain: 장판 또는 디버프를 남겨 지속 피해. 원본 태그(Fire, Attack, AoE, Projectile, Bow)를 유지하되, 수치 밸런스는 공격주기/범위/대상수/지속시간으로 환산.</t>
  </si>
  <si>
    <t>Fires arrows up in the air, to rain down in an area. Each arrow deals area da...</t>
  </si>
  <si>
    <t>지속시간 증가, 중첩 수 증가, 이동속도 감소, 피해 주기 단축, Ignite 강화</t>
  </si>
  <si>
    <t>Burning Arrow: 장판 또는 디버프를 남겨 지속 피해. 원본 태그(Attack, Projectile, Fire, Bow)를 유지하되, 수치 밸런스는 공격주기/범위/대상수/지속시간으로 환산.</t>
  </si>
  <si>
    <t>Fires a burning arrow that deals fire damage and has a chance to ignite.
100%...</t>
  </si>
  <si>
    <t>Chaos DoT Zone Tower</t>
  </si>
  <si>
    <t>지속시간 증가, 중첩 수 증가, 이동속도 감소, 피해 주기 단축, Poison 강화</t>
  </si>
  <si>
    <t>Cobra Lash: 장판 또는 디버프를 남겨 지속 피해. 원본 태그(Attack, Projectile, Chaos)를 유지하되, 수치 밸런스는 공격주기/범위/대상수/지속시간으로 환산.</t>
  </si>
  <si>
    <t>Fires a poisonous projectile based on your weapon that will chain between ene...</t>
  </si>
  <si>
    <t>Cyclone: 범위 안의 적에게 즉발 또는 지연 피해. 원본 태그(Attack, AoE, Melee, Movement, Channelling)를 유지하되, 수치 밸런스는 공격주기/범위/대상수/지속시간으로 환산.</t>
  </si>
  <si>
    <t>Channel this skill to move towards a targeted location while spinning constan...</t>
  </si>
  <si>
    <t>Fire Area Tower</t>
  </si>
  <si>
    <t>Detonate Dead: 범위 안의 적에게 즉발 또는 지연 피해. 원본 태그(Spell, AoE, Fire)를 유지하되, 수치 밸런스는 공격주기/범위/대상수/지속시간으로 환산.</t>
  </si>
  <si>
    <t>Explosive Arrow: 장판 또는 디버프를 남겨 지속 피해. 원본 태그(Attack, Projectile, AoE, Duration, Fire, Bow)를 유지하되, 수치 밸런스는 공격주기/범위/대상수/지속시간으로 환산.</t>
  </si>
  <si>
    <t>Fire, Cold, Lightning Projectile Tower</t>
  </si>
  <si>
    <t>투사체 수 증가, 관통/체인/분열, 폭발 반경 증가, 속성 상태이상, Ignite 강화</t>
  </si>
  <si>
    <t>Explosive Concoction: 투사체를 발사해 명중/관통/폭발/분열 처리. 원본 태그(Attack, AoE, Fire, Cold, Lightning, Projectile)를 유지하되, 수치 밸런스는 공격주기/범위/대상수/지속시간으로 환산.</t>
  </si>
  <si>
    <t>DoT Zone Tower</t>
  </si>
  <si>
    <t>Flicker Strike: 장판 또는 디버프를 남겨 지속 피해. 원본 태그(Attack, Melee, Strike, Movement, Duration)를 유지하되, 수치 밸런스는 공격주기/범위/대상수/지속시간으로 환산.</t>
  </si>
  <si>
    <t>Cold Projectile Tower</t>
  </si>
  <si>
    <t>Frost Blades: 투사체를 발사해 명중/관통/폭발/분열 처리. 원본 태그(Attack, Projectile, Melee, Strike, Cold)를 유지하되, 수치 밸런스는 공격주기/범위/대상수/지속시간으로 환산.</t>
  </si>
  <si>
    <t>Lightning Projectile Tower</t>
  </si>
  <si>
    <t>Galvanic Arrow: 투사체를 발사해 명중/관통/폭발/분열 처리. 원본 태그(Lightning, Attack, Projectile, AoE, Bow)를 유지하되, 수치 밸런스는 공격주기/범위/대상수/지속시간으로 환산.</t>
  </si>
  <si>
    <t>Haste: 범위 내 아군 강화 또는 적 약화. 원본 태그(Aura, Spell, AoE)를 유지하되, 수치 밸런스는 공격주기/범위/대상수/지속시간으로 환산.</t>
  </si>
  <si>
    <t>Hatred: 범위 내 아군 강화 또는 적 약화. 원본 태그(Aura, Spell, AoE, Cold)를 유지하되, 수치 밸런스는 공격주기/범위/대상수/지속시간으로 환산.</t>
  </si>
  <si>
    <t>반경 증가, 버프 수치 증가, 속성 특화, 중첩 제한 해제, Poison 강화</t>
  </si>
  <si>
    <t>Herald of Agony: 범위 내 아군 강화 또는 적 약화. 원본 태그(Spell, Herald, Minion, Chaos, Physical)를 유지하되, 수치 밸런스는 공격주기/범위/대상수/지속시간으로 환산.</t>
  </si>
  <si>
    <t>Herald of Ice: 범위 내 아군 강화 또는 적 약화. 원본 태그(Spell, AoE, Cold, Herald)를 유지하되, 수치 밸런스는 공격주기/범위/대상수/지속시간으로 환산.</t>
  </si>
  <si>
    <t>투사체 수 증가, 관통/체인/분열, 폭발 반경 증가, 속성 상태이상, Chill 강화</t>
  </si>
  <si>
    <t>Ice Shot: 투사체를 발사해 명중/관통/폭발/분열 처리. 원본 태그(Attack, Projectile, AoE, Cold, Bow)를 유지하되, 수치 밸런스는 공격주기/범위/대상수/지속시간으로 환산.</t>
  </si>
  <si>
    <t>지속시간 증가, 중첩 수 증가, 이동속도 감소, 피해 주기 단축, Bleed 강화</t>
  </si>
  <si>
    <t>Lacerate: 장판 또는 디버프를 남겨 지속 피해. 원본 태그(Attack, AoE, Melee, Physical)를 유지하되, 수치 밸런스는 공격주기/범위/대상수/지속시간으로 환산.</t>
  </si>
  <si>
    <t>투사체 수 증가, 관통/체인/분열, 폭발 반경 증가, 속성 상태이상, Shock 강화</t>
  </si>
  <si>
    <t>Lightning Arrow: 투사체를 발사해 명중/관통/폭발/분열 처리. 원본 태그(Attack, AoE, Projectile, Lightning, Bow)를 유지하되, 수치 밸런스는 공격주기/범위/대상수/지속시간으로 환산.</t>
  </si>
  <si>
    <t>Lightning Strike: 투사체를 발사해 명중/관통/폭발/분열 처리. 원본 태그(Attack, Projectile, Melee, Strike, Lightning)를 유지하되, 수치 밸런스는 공격주기/범위/대상수/지속시간으로 환산.</t>
  </si>
  <si>
    <t>Poisonous Concoction: 장판 또는 디버프를 남겨 지속 피해. 원본 태그(Attack, AoE, Chaos, Projectile)를 유지하되, 수치 밸런스는 공격주기/범위/대상수/지속시간으로 환산.</t>
  </si>
  <si>
    <t>Precision: 범위 내 아군 강화 또는 적 약화. 원본 태그(Aura, Critical, Spell, AoE)를 유지하되, 수치 밸런스는 공격주기/범위/대상수/지속시간으로 환산.</t>
  </si>
  <si>
    <t>Rain of Arrows: 장판 또는 디버프를 남겨 지속 피해. 원본 태그(Attack, AoE, Projectile, Bow)를 유지하되, 수치 밸런스는 공격주기/범위/대상수/지속시간으로 환산.</t>
  </si>
  <si>
    <t>Chaos Projectile Tower</t>
  </si>
  <si>
    <t>Scourge Arrow: 투사체를 발사해 명중/관통/폭발/분열 처리. 원본 태그(Attack, Projectile, Channelling, Chaos, Bow)를 유지하되, 수치 밸런스는 공격주기/범위/대상수/지속시간으로 환산.</t>
  </si>
  <si>
    <t>Tornado Shot: 투사체를 발사해 명중/관통/폭발/분열 처리. 원본 태그(Attack, Projectile, Bow)를 유지하되, 수치 밸런스는 공격주기/범위/대상수/지속시간으로 환산.</t>
  </si>
  <si>
    <t>지속시간 증가, 중첩 수 증가, 이동속도 감소, 피해 주기 단축, Slow 강화</t>
  </si>
  <si>
    <t>Toxic Rain: 장판 또는 디버프를 남겨 지속 피해. 원본 태그(Attack, AoE, Chaos, Duration, Projectile, Bow)를 유지하되, 수치 밸런스는 공격주기/범위/대상수/지속시간으로 환산.</t>
  </si>
  <si>
    <t>Lightning Chain Tower</t>
  </si>
  <si>
    <t>Wave Clear / Multi Target</t>
  </si>
  <si>
    <t>가장 가까운 적 → 연쇄 대상</t>
  </si>
  <si>
    <t>다중 라인 전이 가능</t>
  </si>
  <si>
    <t>첫 대상 명중 후 주변 적에게 연쇄 피해</t>
  </si>
  <si>
    <t>공격 속도 기반</t>
  </si>
  <si>
    <t>AttackRange + ChainRange</t>
  </si>
  <si>
    <t>연쇄 횟수 증가, 연쇄 거리 증가, 연쇄당 피해 감소 완화, 감전/디버프</t>
  </si>
  <si>
    <t>Arc: 첫 대상 명중 후 주변 적에게 연쇄 피해. 원본 태그(Spell, Chaining, Lightning)를 유지하되, 수치 밸런스는 공격주기/범위/대상수/지속시간으로 환산.</t>
  </si>
  <si>
    <t>투사체 수 증가, 관통/체인/분열, 폭발 반경 증가, 속성 상태이상, Slow 강화</t>
  </si>
  <si>
    <t>Ball Lightning: 투사체를 발사해 명중/관통/폭발/분열 처리. 원본 태그(Spell, Projectile, AoE, Lightning)를 유지하되, 수치 밸런스는 공격주기/범위/대상수/지속시간으로 환산.</t>
  </si>
  <si>
    <t>반경 증가, 버프 수치 증가, 속성 특화, 중첩 제한 해제, Slow 강화</t>
  </si>
  <si>
    <t>Blight: 범위 내 아군 강화 또는 적 약화. 원본 태그(Spell, Chaos, AoE, Channelling, Duration)를 유지하되, 수치 밸런스는 공격주기/범위/대상수/지속시간으로 환산.</t>
  </si>
  <si>
    <t>Blazing Salvo: 투사체를 발사해 명중/관통/폭발/분열 처리. 원본 태그(Spell, AoE, Fire, Projectile)를 유지하되, 수치 밸런스는 공격주기/범위/대상수/지속시간으로 환산.</t>
  </si>
  <si>
    <t>Eye of Winter: 투사체를 발사해 명중/관통/폭발/분열 처리. 원본 태그(Spell, Projectile, Cold)를 유지하되, 수치 밸런스는 공격주기/범위/대상수/지속시간으로 환산.</t>
  </si>
  <si>
    <t>Fireball: 투사체를 발사해 명중/관통/폭발/분열 처리. 원본 태그(Projectile, Spell, AoE, Fire)를 유지하되, 수치 밸런스는 공격주기/범위/대상수/지속시간으로 환산.</t>
  </si>
  <si>
    <t>Forbidden Rite: 투사체를 발사해 명중/관통/폭발/분열 처리. 원본 태그(Spell, AoE, Chaos, Projectile)를 유지하되, 수치 밸런스는 공격주기/범위/대상수/지속시간으로 환산.</t>
  </si>
  <si>
    <t>투사체 수 증가, 관통/체인/분열, 폭발 반경 증가, 속성 상태이상, Freeze 강화</t>
  </si>
  <si>
    <t>Freezing Pulse: 투사체를 발사해 명중/관통/폭발/분열 처리. 원본 태그(Spell, Projectile, Cold)를 유지하되, 수치 밸런스는 공격주기/범위/대상수/지속시간으로 환산.</t>
  </si>
  <si>
    <t>Herald of Thunder: 범위 내 아군 강화 또는 적 약화. 원본 태그(Spell, AoE, Duration, Lightning, Herald)를 유지하되, 수치 밸런스는 공격주기/범위/대상수/지속시간으로 환산.</t>
  </si>
  <si>
    <t>Kinetic Blast: 투사체를 발사해 명중/관통/폭발/분열 처리. 원본 태그(Attack, Projectile, AoE)를 유지하되, 수치 밸런스는 공격주기/범위/대상수/지속시간으로 환산.</t>
  </si>
  <si>
    <t>Kinetic Rain: 장판 또는 디버프를 남겨 지속 피해. 원본 태그(Attack, AoE, Projectile, Duration, Trigger)를 유지하되, 수치 밸런스는 공격주기/범위/대상수/지속시간으로 환산.</t>
  </si>
  <si>
    <t>Swing your wand to cause a number of projectiles to rain down within a large ...</t>
  </si>
  <si>
    <t>Fires 8 Projectiles
Base targeting area length is 9 metres
Base targeting are...</t>
  </si>
  <si>
    <t>Orb of Storms: 첫 대상 명중 후 주변 적에게 연쇄 피해. 원본 태그(Lightning, Spell, AoE, Chaining, Orb)를 유지하되, 수치 밸런스는 공격주기/범위/대상수/지속시간으로 환산.</t>
  </si>
  <si>
    <t>Critical Strike Chance: 5.00% Creates a stationary electrical orb that strike...</t>
  </si>
  <si>
    <t>Deals (3-304) to (8-913) Lightning Damage
Base radius is 2.8 metres
Beam Spli...</t>
  </si>
  <si>
    <t>Raise Zombie: 주기적으로 소환체를 생성해 전투 지속. 원본 태그(Spell, Minion)를 유지하되, 수치 밸런스는 공격주기/범위/대상수/지속시간으로 환산.</t>
  </si>
  <si>
    <t>Raises a zombie minion from a corpse, which will follow you and attack enemie...</t>
  </si>
  <si>
    <t>Righteous Fire: 장판 또는 디버프를 남겨 지속 피해. 원본 태그(Spell, AoE, Fire)를 유지하되, 수치 밸런스는 공격주기/범위/대상수/지속시간으로 환산.</t>
  </si>
  <si>
    <t>Engulfs you in magical fire that rapidly burns you and nearby enemies. Your s...</t>
  </si>
  <si>
    <t>Deals 70% of your Maximum Life as Base Fire Damage per second
Deals 70% of yo...</t>
  </si>
  <si>
    <t>Summon Carrion Golem: 주기적으로 소환체를 생성해 전투 지속. 원본 태그(Physical, Minion, Spell, Golem)를 유지하되, 수치 밸런스는 공격주기/범위/대상수/지속시간으로 환산.</t>
  </si>
  <si>
    <t>Golems deal 5% more Damage per Non-Golem Minion near them, up to 50% Golems g...</t>
  </si>
  <si>
    <t>Summons a Carrion Golem that grants added physical damage for your non-golem ...</t>
  </si>
  <si>
    <t>Cold DoT Zone Tower</t>
  </si>
  <si>
    <t>지속시간 증가, 중첩 수 증가, 이동속도 감소, 피해 주기 단축, Chill 강화</t>
  </si>
  <si>
    <t>Vortex: 장판 또는 디버프를 남겨 지속 피해. 원본 태그(Spell, AoE, Cold, Duration, Nova)를 유지하되, 수치 밸런스는 공격주기/범위/대상수/지속시간으로 환산.</t>
  </si>
  <si>
    <t>Critical Strike Chance: 6.00% An icy blast explodes around the caster, dealin...</t>
  </si>
  <si>
    <t>Deals (48-933) to (72-1399) Cold Damage
Base duration is 3.00 seconds
Deals (...</t>
  </si>
  <si>
    <t>SupportGem</t>
  </si>
  <si>
    <t>CompatibleWith</t>
  </si>
  <si>
    <t>ModifierSlot</t>
  </si>
  <si>
    <t>DefenseEffect</t>
  </si>
  <si>
    <t>DefenseUseCase</t>
  </si>
  <si>
    <t>TradeoffModel</t>
  </si>
  <si>
    <t>StackingRule</t>
  </si>
  <si>
    <t>Element Conversion Modifier</t>
  </si>
  <si>
    <t>피해 속성 변환 또는 추가 속성 피해 부여</t>
  </si>
  <si>
    <t>속성 빌드 다양화</t>
  </si>
  <si>
    <t>Cost/Reservation Multiplier를 타워 에너지 비용 증가로 적용</t>
  </si>
  <si>
    <t>변환률 총합 100% 캡 권장</t>
  </si>
  <si>
    <t>Cost Modifier</t>
  </si>
  <si>
    <t>성능 상승 대신 에너지/유지비 증가</t>
  </si>
  <si>
    <t>강력한 보조젬의 밸런스 패널티</t>
  </si>
  <si>
    <t>총 비용 배율 상한 필요</t>
  </si>
  <si>
    <t>Supported Skills deal (25-39)% more Physical Damage
Supported Skills deal no ...</t>
  </si>
  <si>
    <t>Ailment Modifier</t>
  </si>
  <si>
    <t>상태이상 확률/피해/효과 증가</t>
  </si>
  <si>
    <t>CC/DoT 빌드 강화</t>
  </si>
  <si>
    <t>상태이상별 중첩 규칙 분리</t>
  </si>
  <si>
    <t>Supported Attacks have 25% chance to cause Bleeding
Supported Attacks deal (1...</t>
  </si>
  <si>
    <t>Supported Skills gain (10-29)% of Cold Damage as Extra Fire Damage
Supported ...</t>
  </si>
  <si>
    <t>Duration Modifier</t>
  </si>
  <si>
    <t>장판/소환/버프 지속시간 증가 또는 주기 변경</t>
  </si>
  <si>
    <t>지역 제어와 소환 유지력 강화</t>
  </si>
  <si>
    <t>지속시간은 합산, 틱 주기는 별도</t>
  </si>
  <si>
    <t>supports any skill that hits enemies. minions cannot gain cruelty. (0-19)% in...</t>
  </si>
  <si>
    <t>Supported Skills deal (15-24)% more Damage with Hits
Cruelty has a Base Durat...</t>
  </si>
  <si>
    <t>Supports any skill that hits enemies. Minions cannot gain Cruelty. (0-19)% in...</t>
  </si>
  <si>
    <t>supports melee attack skills. gain an endurance charge when you stun an enemy...</t>
  </si>
  <si>
    <t>4% more Damage per Endurance Charge
Supported Skills have (0-19)% reduced Ene...</t>
  </si>
  <si>
    <t>Supports melee attack skills. Gain an Endurance Charge when you Stun an Enemy...</t>
  </si>
  <si>
    <t>Resistance Break Modifier</t>
  </si>
  <si>
    <t>특정 속성 저항 무시/감소</t>
  </si>
  <si>
    <t>엘리트/보스 대응</t>
  </si>
  <si>
    <t>저항 감소 상한 필요</t>
  </si>
  <si>
    <t>supports any skill that hits enemies, making those hits penetrate enemy fire ...</t>
  </si>
  <si>
    <t>Supports any skill that hits enemies, making those hits penetrate enemy fire ...</t>
  </si>
  <si>
    <t>Supported Skills deal (10-19)% more Damage
Supported Skills have (40-49)% les...</t>
  </si>
  <si>
    <t>Supported Skills deal (10-19)% more Physical Damage
Supported Attacks have 30...</t>
  </si>
  <si>
    <t>Damage Multiplier / Ailment Application / Speed / Frequency / Resource / Cost...</t>
  </si>
  <si>
    <t>Supported Skills deal (30-49)% more Melee Physical Damage
Supported Skills de...</t>
  </si>
  <si>
    <t>supports melee attack skills, making them repeat twice when used, targeting a...</t>
  </si>
  <si>
    <t>Supported Skills Repeat 2 additional times
Supported Skills have (35-44)% mor...</t>
  </si>
  <si>
    <t>Supports melee attack skills, making them repeat twice when used, targeting a...</t>
  </si>
  <si>
    <t>Area Modifier</t>
  </si>
  <si>
    <t>범위 반경 또는 범위 피해 보정</t>
  </si>
  <si>
    <t>장판/폭발/슬램 타워 강화</t>
  </si>
  <si>
    <t>반경 증가는 점감 적용</t>
  </si>
  <si>
    <t>Supported Skills have (25-34)% increased Area of Effect
Supported Skills have...</t>
  </si>
  <si>
    <t>Damage Multiplier / Duration / DoT / Resource / Cost / Charge / Resource Gain...</t>
  </si>
  <si>
    <t>supports melee strike or slam skills. every third time you use a supported at...</t>
  </si>
  <si>
    <t>Every third Attack with Supported Melee Attacks deals a Ruthless Blow
Ailment...</t>
  </si>
  <si>
    <t>Supports melee strike or slam skills. Every third time you use a supported at...</t>
  </si>
  <si>
    <t>supports melee attack skills. cannot support triggered attacks, attacks used ...</t>
  </si>
  <si>
    <t>Supported Skills will Trigger Shockwave on Melee Hit
Supported Skills can onl...</t>
  </si>
  <si>
    <t>Supports melee attack skills. Cannot support triggered attacks, attacks used ...</t>
  </si>
  <si>
    <t>조건에 맞는 타워에 장착</t>
  </si>
  <si>
    <t>별도 비용 패널티 없음</t>
  </si>
  <si>
    <t>태그 호환성 기반 제한</t>
  </si>
  <si>
    <t>supports any skill that hits enemies, making it easier to stun enemies with t...</t>
  </si>
  <si>
    <t>Supports any skill that hits enemies, making it easier to stun enemies with t...</t>
  </si>
  <si>
    <t>Projectile Modifier</t>
  </si>
  <si>
    <t>투사체 수/속도/관통/체인/분열 규칙 변경</t>
  </si>
  <si>
    <t>원거리 타워의 라인 클리어 강화</t>
  </si>
  <si>
    <t>동일 계열은 1~2개 제한</t>
  </si>
  <si>
    <t>supports projectile attack skills that use bows or wands. cannot support trig...</t>
  </si>
  <si>
    <t>Supported Skills deal (68-62)% less Damage
Supported Skills Fire Projectiles ...</t>
  </si>
  <si>
    <t>Supports projectile attack skills that use bows or wands. Cannot support trig...</t>
  </si>
  <si>
    <t>Supported Skills Chain +2 times
Supported Skills deal (30-11)% less Damage wi...</t>
  </si>
  <si>
    <t>Supported Skills have 40% chance to Poison on Hit
Supported Skills have (1-94...</t>
  </si>
  <si>
    <t>supports any skill that hits enemies, making those hits penetrate enemy cold ...</t>
  </si>
  <si>
    <t>Supports any skill that hits enemies, making those hits penetrate enemy cold ...</t>
  </si>
  <si>
    <t>Supported Skills have +(70-98)% Damage over Time Multiplier for Ailments from...</t>
  </si>
  <si>
    <t>supports any skill that hits enemies. if enemies are left below 10% of maximu...</t>
  </si>
  <si>
    <t>Supports any skill that hits enemies. If enemies are left below 10% of maximu...</t>
  </si>
  <si>
    <t>Supported Skills deal (30-44)% more Damage with Ailments
Supported Skills dea...</t>
  </si>
  <si>
    <t>Supported Skills have (50-69)% increased Projectile Speed
Supported Skills de...</t>
  </si>
  <si>
    <t>Projectiles from Supported Skills Fork
Supported Skills deal (-10-9)% more Pr...</t>
  </si>
  <si>
    <t>Supports projectile skills, making their projectiles fork into two projectile...</t>
  </si>
  <si>
    <t>Supported Skills deal (35-26)% less Projectile Damage
Supported Skills fire 4...</t>
  </si>
  <si>
    <t>Supported Skills fire 4 additional Projectiles
Supported Skills also fire Pro...</t>
  </si>
  <si>
    <t>Supports skills that fire projectiles from the user. Does not affect projecti...</t>
  </si>
  <si>
    <t>Supported Skills have +20% chance to Freeze Enemies which are Chilled
Support...</t>
  </si>
  <si>
    <t>Supported Attacks have 60% chance to Impale Enemies on Hit
Supported Attacks ...</t>
  </si>
  <si>
    <t>supports attack skills that can be used with bows. supported skills can only ...</t>
  </si>
  <si>
    <t>Supports attack skills that can be used with bows. Supported skills can only ...</t>
  </si>
  <si>
    <t>Supported Skills deal (15-6)% less Projectile Damage
Supported Skills fire 2 ...</t>
  </si>
  <si>
    <t>Projectiles from Supported Skills Pierce (2-4) additional Targets
Supported S...</t>
  </si>
  <si>
    <t>Projectiles from Supported Skills Return to you
Projectiles from Supported Sk...</t>
  </si>
  <si>
    <t>Projectile Behavior / Speed / Frequency / Resource / Cost / Restriction / Tra...</t>
  </si>
  <si>
    <t>Supported Skills have (20-30)% less Projectile Speed
Supported Skills deal (1...</t>
  </si>
  <si>
    <t>Supports any skill that has a duration, or can hit enemies to inflict ailment...</t>
  </si>
  <si>
    <t>Projectile Behavior / Duration / DoT / Speed / Frequency / Resource / Cost / ...</t>
  </si>
  <si>
    <t>Supported Skills deal (30-49)% more Chaos Damage over Time
Supported Skills d...</t>
  </si>
  <si>
    <t>Supported Skills deal 5% more Damage with Hits for each Poison on the Enemy, ...</t>
  </si>
  <si>
    <t>Supported Skills deal (20-34)% more Chaos Damage
Supported Skills deal no Ele...</t>
  </si>
  <si>
    <t>Supported Skills fire 2 additional Projectiles
Supported Skills also fire Pro...</t>
  </si>
  <si>
    <t>Enemies Chilled by Supported Skills increase Cold Damage taken by Chill Effec...</t>
  </si>
  <si>
    <t>Supports any skill that can chill enemies or create chilling areas. (25-44)% ...</t>
  </si>
  <si>
    <t>Supported Skills deal (10-19)% more Fire Damage
Supported Skills have 25% cha...</t>
  </si>
  <si>
    <t>Supported Skills deal (25-39)% more Area Damage
Supported Skills have 30% les...</t>
  </si>
  <si>
    <t>Supports any skill with an area of effect, regardless of whether that skill d...</t>
  </si>
  <si>
    <t>Supported Skills have 80% less Critical Strike Chance
Supported Skills deal (...</t>
  </si>
  <si>
    <t>Supported Skills deal (15-24)% more Damage over Time
Supported Skills have (1...</t>
  </si>
  <si>
    <t>supported skills cannot inflict elemental ailments; supports any skill that h...</t>
  </si>
  <si>
    <t>Supported Skills deal (20-34)% more Elemental Damage
Supported Skills cannot ...</t>
  </si>
  <si>
    <t>supports any skill that hits enemies, or could otherwise apply elemental ailm...</t>
  </si>
  <si>
    <t>(0-19)% increased Duration of Elemental Ailments on Enemies
Supported Skills ...</t>
  </si>
  <si>
    <t>Supports any skill that hits enemies, or could otherwise apply elemental ailm...</t>
  </si>
  <si>
    <t>supports any skill that hits enemies. ignites caused by supported skills spre...</t>
  </si>
  <si>
    <t>Supports any skill that hits enemies. Ignites caused by Supported Skills spre...</t>
  </si>
  <si>
    <t>Supported Skills have (60-117)% increased Critical Strike Chance
Supported Sk...</t>
  </si>
  <si>
    <t>Minion Modifier</t>
  </si>
  <si>
    <t>소환체 공격/체력/수/행동 규칙 보정</t>
  </si>
  <si>
    <t>소환 타워 강화</t>
  </si>
  <si>
    <t>소환 수는 하드캡 필요</t>
  </si>
  <si>
    <t>supports any channelling skill, protecting you from damage while you channel ...</t>
  </si>
  <si>
    <t>Supports any channelling skill, protecting you from damage while you channel ...</t>
  </si>
  <si>
    <t>Category</t>
  </si>
  <si>
    <t>Rule</t>
  </si>
  <si>
    <t>Defense Interpretation</t>
  </si>
  <si>
    <t>Implementation Hint</t>
  </si>
  <si>
    <t>Aura/Herald</t>
  </si>
  <si>
    <t>Aura, Herald 태그 포함</t>
  </si>
  <si>
    <t>지원 오라 타워 또는 유지형 버프 모듈</t>
  </si>
  <si>
    <t>타워 주변 범위에 지속 적용, 예약 비용은 유지비로 변환</t>
  </si>
  <si>
    <t>Projectile/Bow</t>
  </si>
  <si>
    <t>Projectile, Bow 태그 포함</t>
  </si>
  <si>
    <t>직선/곡선/다중 투사체 타워</t>
  </si>
  <si>
    <t>ProjectileSpeed는 탄속, 추가 투사체/관통/체인은 업그레이드로 분리</t>
  </si>
  <si>
    <t>AoE/Slam/Nova</t>
  </si>
  <si>
    <t>AoE, Slam, Nova 태그 포함</t>
  </si>
  <si>
    <t>폭발/충격파/근접 광역 타워</t>
  </si>
  <si>
    <t>AoERadius는 타격 반경, 중심부 추가피해 규칙 권장</t>
  </si>
  <si>
    <t>Duration, DoT, Burning, Poison, Bleed 포함</t>
  </si>
  <si>
    <t>장판/지속피해/지역봉쇄 타워</t>
  </si>
  <si>
    <t>Duration은 장판 유지시간, TickRate와 중첩 수 제한 필요</t>
  </si>
  <si>
    <t>Minion/Summon</t>
  </si>
  <si>
    <t>Minion, Summon, Animate 포함</t>
  </si>
  <si>
    <t>소환 타워/스포너</t>
  </si>
  <si>
    <t>소환 수, 지속시간, AI 추적거리, 몸빵 성능을 별도 밸런스</t>
  </si>
  <si>
    <t>Chaining 또는 Chain 포함</t>
  </si>
  <si>
    <t>연쇄 타워</t>
  </si>
  <si>
    <t>ChainRange와 ChainCount를 별도 수치로 관리</t>
  </si>
  <si>
    <t>Melee/Strike</t>
  </si>
  <si>
    <t>Melee, Strike 포함</t>
  </si>
  <si>
    <t>근접 가디언 타워 또는 영웅 스킬</t>
  </si>
  <si>
    <t>MeleeRange와 방어/스턴/넉백을 강화 포인트로 사용</t>
  </si>
  <si>
    <t>Trap/Mine</t>
  </si>
  <si>
    <t>Trap, Mine 포함</t>
  </si>
  <si>
    <t>설치형 트랩/마인 모듈</t>
  </si>
  <si>
    <t>설치 개수, 재장전 시간, 발동 조건 관리</t>
  </si>
  <si>
    <t>Curse/Hex/Mark</t>
  </si>
  <si>
    <t>Curse, Hex, Mark 포함</t>
  </si>
  <si>
    <t>디버프 타워</t>
  </si>
  <si>
    <t>보스/엘리트 대응용, 중첩 제한 필요</t>
  </si>
  <si>
    <t>Support Gem</t>
  </si>
  <si>
    <t>Support는 직접 공격 스킬이 아님</t>
  </si>
  <si>
    <t>장착형 Modifier 모듈</t>
  </si>
  <si>
    <t>호환 태그, 비용 배율, 중첩 제한을 반드시 명시</t>
  </si>
  <si>
    <t>Value</t>
  </si>
  <si>
    <t>Active Skills Converted</t>
  </si>
  <si>
    <t>DEFENSE_ACTIVE rows</t>
  </si>
  <si>
    <t>Support Gems Converted</t>
  </si>
  <si>
    <t>DEFENSE_SUPPORT_MODIFIERS rows</t>
  </si>
  <si>
    <t>Most Common Defense System</t>
  </si>
  <si>
    <t>25</t>
  </si>
  <si>
    <t>Most Common Modifier Slot</t>
  </si>
  <si>
    <t>20</t>
  </si>
  <si>
    <t>Recommended Next Step</t>
  </si>
  <si>
    <t>밸런스 수치화</t>
  </si>
  <si>
    <t>Damage / AttackInterval / Range / Cost / UpgradeLevel 컬럼 추가</t>
  </si>
  <si>
    <t>DefenseSystem Count</t>
  </si>
  <si>
    <t>ModifierSlot Count</t>
  </si>
  <si>
    <t>PoE형 디펜스 밸런스 계산기 - 입력값</t>
  </si>
  <si>
    <t>구분</t>
  </si>
  <si>
    <t>파라미터</t>
  </si>
  <si>
    <t>권장값</t>
  </si>
  <si>
    <t>Enemy</t>
  </si>
  <si>
    <t>BaseHP</t>
  </si>
  <si>
    <t>Wave 1 일반 몬스터 체력</t>
  </si>
  <si>
    <t>PoE형: 낮게 시작</t>
  </si>
  <si>
    <t>GrowthRate</t>
  </si>
  <si>
    <t>웨이브당 HP 증가율</t>
  </si>
  <si>
    <t>1.18~1.22 추천</t>
  </si>
  <si>
    <t>MaxWave</t>
  </si>
  <si>
    <t>계산할 최대 웨이브</t>
  </si>
  <si>
    <t>BaseMobCount</t>
  </si>
  <si>
    <t>Wave 1 몬스터 수</t>
  </si>
  <si>
    <t>PoE형: 많이 나옴</t>
  </si>
  <si>
    <t>MobCountGrowth</t>
  </si>
  <si>
    <t>웨이브당 몬스터 수 증가율</t>
  </si>
  <si>
    <t>EnemyType</t>
  </si>
  <si>
    <t>FastHPMultiplier</t>
  </si>
  <si>
    <t>빠른 몹 HP 계수</t>
  </si>
  <si>
    <t>TankHPMultiplier</t>
  </si>
  <si>
    <t>탱커 HP 계수</t>
  </si>
  <si>
    <t>EliteHPMultiplier</t>
  </si>
  <si>
    <t>엘리트 HP 계수</t>
  </si>
  <si>
    <t>BossHPMultiplier</t>
  </si>
  <si>
    <t>보스 HP 계수</t>
  </si>
  <si>
    <t>50~300</t>
  </si>
  <si>
    <t>Tower</t>
  </si>
  <si>
    <t>BasePower</t>
  </si>
  <si>
    <t>기준 타워 DPS</t>
  </si>
  <si>
    <t>기본 몹 1~2초 처치 목표</t>
  </si>
  <si>
    <t>TargetTTK_Normal</t>
  </si>
  <si>
    <t>일반 몹 목표 처치 시간</t>
  </si>
  <si>
    <t>초</t>
  </si>
  <si>
    <t>TargetTTK_Tank</t>
  </si>
  <si>
    <t>탱커 목표 처치 시간</t>
  </si>
  <si>
    <t>Build</t>
  </si>
  <si>
    <t>DefaultAttackInterval</t>
  </si>
  <si>
    <t>기본 공격 주기</t>
  </si>
  <si>
    <t>MaxSupportSlots</t>
  </si>
  <si>
    <t>기본 보조젬 슬롯 수</t>
  </si>
  <si>
    <t>CostSoftCap</t>
  </si>
  <si>
    <t>총 비용 배율 소프트캡</t>
  </si>
  <si>
    <t>초과 시 패널티 고려</t>
  </si>
  <si>
    <t>사용법</t>
  </si>
  <si>
    <t>1) C열 값을 바꾸면 Enemy HP / Skill DPS / Build Calculator가 자동 계산됩니다.</t>
  </si>
  <si>
    <t>2) Archetype / Support 배율은 각 시트에서 직접 조정 가능합니다.</t>
  </si>
  <si>
    <t>Enemy HP Curve — PoE형 웨이브 체력/몹 수 계산</t>
  </si>
  <si>
    <t>Wave</t>
  </si>
  <si>
    <t>NormalHP</t>
  </si>
  <si>
    <t>FastHP</t>
  </si>
  <si>
    <t>TankHP</t>
  </si>
  <si>
    <t>EliteHP</t>
  </si>
  <si>
    <t>BossHP</t>
  </si>
  <si>
    <t>MobCount</t>
  </si>
  <si>
    <t>TotalNormalWaveHP</t>
  </si>
  <si>
    <t>RequiredDPS_NormalTTK</t>
  </si>
  <si>
    <t>Archetype DPS Budget — 메커니즘 가치 기반 기본 DPS 계산표</t>
  </si>
  <si>
    <t>ArchetypeMultiplier</t>
  </si>
  <si>
    <t>UtilityPenalty</t>
  </si>
  <si>
    <t>TargetCount</t>
  </si>
  <si>
    <t>RangeScore</t>
  </si>
  <si>
    <t>Notes</t>
  </si>
  <si>
    <t>RawDPS</t>
  </si>
  <si>
    <t>EffectiveDPS</t>
  </si>
  <si>
    <t>HitDamage</t>
  </si>
  <si>
    <t>Wave1 TTK</t>
  </si>
  <si>
    <t>기본 원거리 투사체. 보조젬 시너지 좋음</t>
  </si>
  <si>
    <t>범용 투사체</t>
  </si>
  <si>
    <t>광역 처리 대가로 단일 DPS 낮춤</t>
  </si>
  <si>
    <t>장판/지속피해, 누적 가능</t>
  </si>
  <si>
    <t>Poison / Chaos Zone Tower</t>
  </si>
  <si>
    <t>DoT 누적 및 감속 시너지</t>
  </si>
  <si>
    <t>Cold Control Tower</t>
  </si>
  <si>
    <t>빙결/감속 유틸 보유</t>
  </si>
  <si>
    <t>자동 체인 가치가 높아 순수 DPS 낮춤</t>
  </si>
  <si>
    <t>직접 딜보다 버프/디버프 가치</t>
  </si>
  <si>
    <t>Minion Tower</t>
  </si>
  <si>
    <t>소환수가 대신 공격. 개체수로 보정</t>
  </si>
  <si>
    <t>Temporary Summon Tower</t>
  </si>
  <si>
    <t>임시 소환/소모형 미니언</t>
  </si>
  <si>
    <t>Melee Hero / Guard</t>
  </si>
  <si>
    <t>근접 위험 보상으로 DPS 높음</t>
  </si>
  <si>
    <t>Boss Killer Tower</t>
  </si>
  <si>
    <t>단일 대상 특화</t>
  </si>
  <si>
    <t>Trap / Mine Tower</t>
  </si>
  <si>
    <t>쿨다운/설치형</t>
  </si>
  <si>
    <t>Channeling Beam Tower</t>
  </si>
  <si>
    <t>틱이 빠르지만 추적/지속 유틸</t>
  </si>
  <si>
    <t>Fallback</t>
  </si>
  <si>
    <t>미분류 기본값</t>
  </si>
  <si>
    <t>Support Gem Modifier Calculator — 보조젬 배율/비용 계산</t>
  </si>
  <si>
    <t>DamageMult</t>
  </si>
  <si>
    <t>CostMult</t>
  </si>
  <si>
    <t>UtilityScore</t>
  </si>
  <si>
    <t>SlotCost</t>
  </si>
  <si>
    <t>SuggestedRarity</t>
  </si>
  <si>
    <t>Build Calculator — 스킬 + 보조젬 조합 DPS / 비용 / TTK 계산</t>
  </si>
  <si>
    <t>BuildName</t>
  </si>
  <si>
    <t>ActiveSkill</t>
  </si>
  <si>
    <t>BaseDPS</t>
  </si>
  <si>
    <t>Support1</t>
  </si>
  <si>
    <t>DmgMult1</t>
  </si>
  <si>
    <t>CostMult1</t>
  </si>
  <si>
    <t>Support2</t>
  </si>
  <si>
    <t>DmgMult2</t>
  </si>
  <si>
    <t>CostMult2</t>
  </si>
  <si>
    <t>Support3</t>
  </si>
  <si>
    <t>DmgMult3</t>
  </si>
  <si>
    <t>CostMult3</t>
  </si>
  <si>
    <t>FinalDPS</t>
  </si>
  <si>
    <t>FinalCostMult</t>
  </si>
  <si>
    <t>NormalTTK</t>
  </si>
  <si>
    <t>BuildScore</t>
  </si>
  <si>
    <t>Fireball Ignite Clear</t>
  </si>
  <si>
    <t>Arc Chain Shock</t>
  </si>
  <si>
    <t>Toxic Rain DoT Zone</t>
  </si>
  <si>
    <t>Animate Weapon Army</t>
  </si>
  <si>
    <t>Molten Strike Projectile</t>
  </si>
  <si>
    <t>Custom Build 6</t>
  </si>
  <si>
    <t>Custom Build 7</t>
  </si>
  <si>
    <t>Custom Build 8</t>
  </si>
  <si>
    <t>Custom Build 9</t>
  </si>
  <si>
    <t>Custom Build 10</t>
  </si>
  <si>
    <t>Custom Build 11</t>
  </si>
  <si>
    <t>Custom Build 12</t>
  </si>
  <si>
    <t>Custom Build 13</t>
  </si>
  <si>
    <t>Custom Build 14</t>
  </si>
  <si>
    <t>Custom Build 15</t>
  </si>
  <si>
    <t>Custom Build 16</t>
  </si>
  <si>
    <t>Custom Build 17</t>
  </si>
  <si>
    <t>Custom Build 18</t>
  </si>
  <si>
    <t>Custom Build 19</t>
  </si>
  <si>
    <t>Custom Build 20</t>
  </si>
  <si>
    <t>Custom Build 21</t>
  </si>
  <si>
    <t>Custom Build 22</t>
  </si>
  <si>
    <t>Custom Build 23</t>
  </si>
  <si>
    <t>Custom Build 24</t>
  </si>
  <si>
    <t>Custom Build 25</t>
  </si>
  <si>
    <t>Custom Build 26</t>
  </si>
  <si>
    <t>Custom Build 27</t>
  </si>
  <si>
    <t>Custom Build 28</t>
  </si>
  <si>
    <t>Custom Build 29</t>
  </si>
  <si>
    <t>Custom Build 30</t>
  </si>
  <si>
    <t>Active Skill DPS Budget — 스킬별 기본 DPS 계산</t>
  </si>
  <si>
    <t>ArchetypeMult</t>
  </si>
  <si>
    <t>EstDPS</t>
  </si>
  <si>
    <t>AttackInterval</t>
  </si>
  <si>
    <t>EstHitDamage</t>
  </si>
  <si>
    <t>Wave1TTK</t>
  </si>
  <si>
    <t>Wave10TTK</t>
  </si>
  <si>
    <t>RecommendedUse</t>
  </si>
  <si>
    <t>PoE형 디펜스 밸런스 대시보드</t>
  </si>
  <si>
    <t>핵심 입력</t>
  </si>
  <si>
    <t>Wave1 HP</t>
  </si>
  <si>
    <t>Growth Rate</t>
  </si>
  <si>
    <t>Target Normal TTK</t>
  </si>
  <si>
    <t>Wave10 Normal HP</t>
  </si>
  <si>
    <t>Wave30 Normal 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</si>
</sst>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x14ac:knownFonts="1">
    <font>
      <sz val="11"/>
      <color theme="1"/>
      <name val="맑은 고딕"/>
    </font>
    <font>
      <b/>
      <sz val="11"/>
      <color rgb="FFFFFFFF"/>
      <name val="맑은 고딕"/>
      <family val="3"/>
      <charset val="129"/>
    </font>
    <font>
      <b/>
      <sz val="14"/>
      <color rgb="FFFFFFFF"/>
      <name val="맑은 고딕"/>
      <family val="3"/>
      <charset val="129"/>
    </font>
    <font>
      <b/>
      <sz val="11"/>
      <color rgb="FF0F172A"/>
      <name val="맑은 고딕"/>
      <family val="3"/>
      <charset val="129"/>
    </font>
    <font>
      <sz val="11"/>
      <color rgb="FF78350F"/>
      <name val="맑은 고딕"/>
      <family val="3"/>
      <charset val="129"/>
    </font>
    <font>
      <sz val="11"/>
      <color theme="1"/>
      <name val="Cambria Math"/>
      <family val="2"/>
    </font>
    <font>
      <sz val="11"/>
      <color theme="1"/>
      <name val="Calibri"/>
      <family val="2"/>
      <scheme val="minor"/>
    </font>
    <font>
      <sz val="8"/>
      <name val="돋움"/>
      <family val="3"/>
      <charset val="129"/>
    </font>
  </fonts>
  <fills count="13">
    <fill>
      <patternFill patternType="none"/>
    </fill>
    <fill>
      <patternFill patternType="gray125"/>
    </fill>
    <fill>
      <patternFill patternType="solid">
        <fgColor rgb="FFFFFF00"/>
      </patternFill>
    </fill>
    <fill>
      <patternFill patternType="solid">
        <fgColor rgb="FF1F4E78"/>
      </patternFill>
    </fill>
    <fill>
      <patternFill patternType="solid">
        <fgColor rgb="FF0F766E"/>
      </patternFill>
    </fill>
    <fill>
      <patternFill patternType="solid">
        <fgColor rgb="FF1F4E78"/>
      </patternFill>
    </fill>
    <fill>
      <patternFill patternType="solid">
        <fgColor rgb="FF7030A0"/>
      </patternFill>
    </fill>
    <fill>
      <patternFill patternType="solid">
        <fgColor rgb="FF0F766E"/>
      </patternFill>
    </fill>
    <fill>
      <patternFill patternType="solid">
        <fgColor rgb="FF1F4E78"/>
      </patternFill>
    </fill>
    <fill>
      <patternFill patternType="solid">
        <fgColor rgb="FF1F2937"/>
      </patternFill>
    </fill>
    <fill>
      <patternFill patternType="solid">
        <fgColor rgb="FF0F766E"/>
      </patternFill>
    </fill>
    <fill>
      <patternFill patternType="solid">
        <fgColor rgb="FFE0F2FE"/>
      </patternFill>
    </fill>
    <fill>
      <patternFill patternType="solid">
        <fgColor rgb="FFFEF3C7"/>
      </patternFill>
    </fill>
  </fills>
  <borders count="1">
    <border>
      <left/>
      <right/>
      <top/>
      <bottom/>
      <diagonal/>
    </border>
  </borders>
  <cellStyleXfs count="1">
    <xf numFmtId="0" fontId="0" fillId="0" borderId="0">
      <alignment vertical="center"/>
    </xf>
  </cellStyleXfs>
  <cellXfs count="20">
    <xf numFmtId="0" fontId="0" fillId="0" borderId="0" xfId="0">
      <alignment vertical="center"/>
    </xf>
    <xf numFmtId="0" fontId="0" fillId="0" borderId="0" xfId="0" applyAlignment="1">
      <alignment vertical="center" wrapText="1"/>
    </xf>
    <xf numFmtId="0" fontId="0" fillId="2" borderId="0" xfId="0" applyFill="1">
      <alignment vertical="center"/>
    </xf>
    <xf numFmtId="0" fontId="1" fillId="3" borderId="0" xfId="0" applyFont="1" applyFill="1" applyAlignment="1">
      <alignment horizontal="center" vertical="center" wrapText="1"/>
    </xf>
    <xf numFmtId="0" fontId="0" fillId="0" borderId="0" xfId="0" applyAlignment="1">
      <alignment vertical="top"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top"/>
    </xf>
    <xf numFmtId="0" fontId="1" fillId="8" borderId="0" xfId="0" applyFont="1" applyFill="1" applyAlignment="1">
      <alignment horizontal="center" vertical="top" wrapText="1"/>
    </xf>
    <xf numFmtId="0" fontId="1" fillId="10" borderId="0" xfId="0" applyFont="1" applyFill="1" applyAlignment="1">
      <alignment horizontal="center" vertical="center"/>
    </xf>
    <xf numFmtId="2" fontId="0" fillId="0" borderId="0" xfId="0" applyNumberFormat="1" applyAlignment="1">
      <alignment vertical="center" wrapText="1"/>
    </xf>
    <xf numFmtId="176" fontId="0" fillId="0" borderId="0" xfId="0" applyNumberFormat="1">
      <alignment vertical="center"/>
    </xf>
    <xf numFmtId="1" fontId="0" fillId="0" borderId="0" xfId="0" applyNumberFormat="1">
      <alignment vertical="center"/>
    </xf>
    <xf numFmtId="2" fontId="0" fillId="0" borderId="0" xfId="0" applyNumberFormat="1">
      <alignment vertical="center"/>
    </xf>
    <xf numFmtId="0" fontId="2" fillId="9" borderId="0" xfId="0" applyFont="1" applyFill="1" applyAlignment="1">
      <alignment horizontal="center" vertical="center"/>
    </xf>
    <xf numFmtId="0" fontId="0" fillId="0" borderId="0" xfId="0">
      <alignment vertical="center"/>
    </xf>
    <xf numFmtId="0" fontId="3" fillId="11" borderId="0" xfId="0" applyFont="1" applyFill="1">
      <alignment vertical="center"/>
    </xf>
    <xf numFmtId="0" fontId="4" fillId="12" borderId="0" xfId="0" applyFont="1" applyFill="1">
      <alignment vertical="center"/>
    </xf>
  </cellXfs>
  <cellStyles count="1">
    <cellStyle name="표준" xfId="0" builtinId="0"/>
  </cellStyles>
  <dxfs count="2">
    <dxf>
      <fill>
        <patternFill patternType="solid">
          <bgColor rgb="FFFEE2E2"/>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en-US"/>
              <a:t>Normal HP Curve (Wave 1-20)</a:t>
            </a:r>
          </a:p>
        </c:rich>
      </c:tx>
      <c:overlay val="0"/>
    </c:title>
    <c:autoTitleDeleted val="0"/>
    <c:plotArea>
      <c:layout/>
      <c:lineChart>
        <c:grouping val="standard"/>
        <c:varyColors val="1"/>
        <c:ser>
          <c:idx val="0"/>
          <c:order val="0"/>
          <c:tx>
            <c:v>NormalHP</c:v>
          </c:tx>
          <c:cat>
            <c:numRef>
              <c:f>ENEMY_HP_CURVE!$A$4:$A$23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ENEMY_HP_CURVE!$B$4:$B$23</c:f>
              <c:numCache>
                <c:formatCode>0.0</c:formatCode>
                <c:ptCount val="20"/>
                <c:pt idx="0">
                  <c:v>1000</c:v>
                </c:pt>
                <c:pt idx="1">
                  <c:v>1200</c:v>
                </c:pt>
                <c:pt idx="2">
                  <c:v>1440</c:v>
                </c:pt>
                <c:pt idx="3">
                  <c:v>1728</c:v>
                </c:pt>
                <c:pt idx="4">
                  <c:v>2073.6</c:v>
                </c:pt>
                <c:pt idx="5">
                  <c:v>2488.3199999999997</c:v>
                </c:pt>
                <c:pt idx="6">
                  <c:v>2985.9839999999999</c:v>
                </c:pt>
                <c:pt idx="7">
                  <c:v>3583.1807999999996</c:v>
                </c:pt>
                <c:pt idx="8">
                  <c:v>4299.8169599999992</c:v>
                </c:pt>
                <c:pt idx="9">
                  <c:v>5159.7803519999998</c:v>
                </c:pt>
                <c:pt idx="10">
                  <c:v>6191.7364223999994</c:v>
                </c:pt>
                <c:pt idx="11">
                  <c:v>7430.0837068799983</c:v>
                </c:pt>
                <c:pt idx="12">
                  <c:v>8916.1004482559983</c:v>
                </c:pt>
                <c:pt idx="13">
                  <c:v>10699.320537907199</c:v>
                </c:pt>
                <c:pt idx="14">
                  <c:v>12839.184645488636</c:v>
                </c:pt>
                <c:pt idx="15">
                  <c:v>15407.021574586364</c:v>
                </c:pt>
                <c:pt idx="16">
                  <c:v>18488.425889503636</c:v>
                </c:pt>
                <c:pt idx="17">
                  <c:v>22186.111067404363</c:v>
                </c:pt>
                <c:pt idx="18">
                  <c:v>26623.333280885236</c:v>
                </c:pt>
                <c:pt idx="19">
                  <c:v>31947.999937062283</c:v>
                </c:pt>
              </c:numCache>
            </c:numRef>
          </c:val>
          <c:smooth val="0"/>
          <c:extLst>
            <c:ext xmlns:c16="http://schemas.microsoft.com/office/drawing/2014/chart" uri="{C3380CC4-5D6E-409C-BE32-E72D297353CC}">
              <c16:uniqueId val="{00000000-2CCF-4CAB-B02D-36A54A3C7D66}"/>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20</xdr:col>
      <xdr:colOff>0</xdr:colOff>
      <xdr:row>18</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RSED_ACTIVETable" displayName="PARSED_ACTIVETable" ref="A1:AA56">
  <tableColumns count="27">
    <tableColumn id="1" xr3:uid="{00000000-0010-0000-0000-000001000000}" name="SourceSheet"/>
    <tableColumn id="2" xr3:uid="{00000000-0010-0000-0000-000002000000}" name="SourceCell"/>
    <tableColumn id="3" xr3:uid="{00000000-0010-0000-0000-000003000000}" name="GemType"/>
    <tableColumn id="4" xr3:uid="{00000000-0010-0000-0000-000004000000}" name="Name"/>
    <tableColumn id="5" xr3:uid="{00000000-0010-0000-0000-000005000000}" name="Tags"/>
    <tableColumn id="6" xr3:uid="{00000000-0010-0000-0000-000006000000}" name="DamageType"/>
    <tableColumn id="7" xr3:uid="{00000000-0010-0000-0000-000007000000}" name="Scaling"/>
    <tableColumn id="8" xr3:uid="{00000000-0010-0000-0000-000008000000}" name="MechanicTags"/>
    <tableColumn id="9" xr3:uid="{00000000-0010-0000-0000-000009000000}" name="CombatRole"/>
    <tableColumn id="10" xr3:uid="{00000000-0010-0000-0000-00000A000000}" name="AilmentKeywords"/>
    <tableColumn id="11" xr3:uid="{00000000-0010-0000-0000-00000B000000}" name="Level"/>
    <tableColumn id="12" xr3:uid="{00000000-0010-0000-0000-00000C000000}" name="Cost"/>
    <tableColumn id="13" xr3:uid="{00000000-0010-0000-0000-00000D000000}" name="Reservation"/>
    <tableColumn id="14" xr3:uid="{00000000-0010-0000-0000-00000E000000}" name="CostReservationMultiplier"/>
    <tableColumn id="15" xr3:uid="{00000000-0010-0000-0000-00000F000000}" name="CooldownTime"/>
    <tableColumn id="16" xr3:uid="{00000000-0010-0000-0000-000010000000}" name="CanStoreUses"/>
    <tableColumn id="17" xr3:uid="{00000000-0010-0000-0000-000011000000}" name="CastTime"/>
    <tableColumn id="18" xr3:uid="{00000000-0010-0000-0000-000012000000}" name="RequiresLevel"/>
    <tableColumn id="19" xr3:uid="{00000000-0010-0000-0000-000013000000}" name="AttackSpeed"/>
    <tableColumn id="20" xr3:uid="{00000000-0010-0000-0000-000014000000}" name="AttackDamage"/>
    <tableColumn id="21" xr3:uid="{00000000-0010-0000-0000-000015000000}" name="EffectivenessAddedDamage"/>
    <tableColumn id="22" xr3:uid="{00000000-0010-0000-0000-000016000000}" name="AoERadius"/>
    <tableColumn id="23" xr3:uid="{00000000-0010-0000-0000-000017000000}" name="ProjectileSpeed"/>
    <tableColumn id="24" xr3:uid="{00000000-0010-0000-0000-000018000000}" name="Icon"/>
    <tableColumn id="25" xr3:uid="{00000000-0010-0000-0000-000019000000}" name="Description"/>
    <tableColumn id="26" xr3:uid="{00000000-0010-0000-0000-00001A000000}" name="ModifierLines"/>
    <tableColumn id="27" xr3:uid="{00000000-0010-0000-0000-00001B000000}" name="Raw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RSED_SUPPORTTable" displayName="PARSED_SUPPORTTable" ref="A1:AA68">
  <tableColumns count="27">
    <tableColumn id="1" xr3:uid="{00000000-0010-0000-0100-000001000000}" name="SourceSheet"/>
    <tableColumn id="2" xr3:uid="{00000000-0010-0000-0100-000002000000}" name="SourceCell"/>
    <tableColumn id="3" xr3:uid="{00000000-0010-0000-0100-000003000000}" name="GemType"/>
    <tableColumn id="4" xr3:uid="{00000000-0010-0000-0100-000004000000}" name="Name"/>
    <tableColumn id="5" xr3:uid="{00000000-0010-0000-0100-000005000000}" name="Tags"/>
    <tableColumn id="6" xr3:uid="{00000000-0010-0000-0100-000006000000}" name="DamageType"/>
    <tableColumn id="7" xr3:uid="{00000000-0010-0000-0100-000007000000}" name="Scaling"/>
    <tableColumn id="8" xr3:uid="{00000000-0010-0000-0100-000008000000}" name="MechanicTags"/>
    <tableColumn id="9" xr3:uid="{00000000-0010-0000-0100-000009000000}" name="CombatRole"/>
    <tableColumn id="10" xr3:uid="{00000000-0010-0000-0100-00000A000000}" name="AilmentKeywords"/>
    <tableColumn id="11" xr3:uid="{00000000-0010-0000-0100-00000B000000}" name="Level"/>
    <tableColumn id="12" xr3:uid="{00000000-0010-0000-0100-00000C000000}" name="Cost"/>
    <tableColumn id="13" xr3:uid="{00000000-0010-0000-0100-00000D000000}" name="Reservation"/>
    <tableColumn id="14" xr3:uid="{00000000-0010-0000-0100-00000E000000}" name="CostReservationMultiplier"/>
    <tableColumn id="15" xr3:uid="{00000000-0010-0000-0100-00000F000000}" name="CooldownTime"/>
    <tableColumn id="16" xr3:uid="{00000000-0010-0000-0100-000010000000}" name="CanStoreUses"/>
    <tableColumn id="17" xr3:uid="{00000000-0010-0000-0100-000011000000}" name="CastTime"/>
    <tableColumn id="18" xr3:uid="{00000000-0010-0000-0100-000012000000}" name="RequiresLevel"/>
    <tableColumn id="19" xr3:uid="{00000000-0010-0000-0100-000013000000}" name="AttackSpeed"/>
    <tableColumn id="20" xr3:uid="{00000000-0010-0000-0100-000014000000}" name="AttackDamage"/>
    <tableColumn id="21" xr3:uid="{00000000-0010-0000-0100-000015000000}" name="EffectivenessAddedDamage"/>
    <tableColumn id="22" xr3:uid="{00000000-0010-0000-0100-000016000000}" name="AoERadius"/>
    <tableColumn id="23" xr3:uid="{00000000-0010-0000-0100-000017000000}" name="ProjectileSpeed"/>
    <tableColumn id="24" xr3:uid="{00000000-0010-0000-0100-000018000000}" name="Icon"/>
    <tableColumn id="25" xr3:uid="{00000000-0010-0000-0100-000019000000}" name="Description"/>
    <tableColumn id="26" xr3:uid="{00000000-0010-0000-0100-00001A000000}" name="ModifierLines"/>
    <tableColumn id="27" xr3:uid="{00000000-0010-0000-0100-00001B000000}" name="Raw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signActiveTable" displayName="DesignActiveTable" ref="A1:AD56">
  <tableColumns count="30">
    <tableColumn id="1" xr3:uid="{00000000-0010-0000-0200-000001000000}" name="SourceSheet"/>
    <tableColumn id="2" xr3:uid="{00000000-0010-0000-0200-000002000000}" name="SourceCell"/>
    <tableColumn id="3" xr3:uid="{00000000-0010-0000-0200-000003000000}" name="GemType"/>
    <tableColumn id="4" xr3:uid="{00000000-0010-0000-0200-000004000000}" name="Name"/>
    <tableColumn id="5" xr3:uid="{00000000-0010-0000-0200-000005000000}" name="Tags"/>
    <tableColumn id="6" xr3:uid="{00000000-0010-0000-0200-000006000000}" name="DamageType"/>
    <tableColumn id="7" xr3:uid="{00000000-0010-0000-0200-000007000000}" name="Scaling"/>
    <tableColumn id="8" xr3:uid="{00000000-0010-0000-0200-000008000000}" name="MechanicTags"/>
    <tableColumn id="9" xr3:uid="{00000000-0010-0000-0200-000009000000}" name="CombatRole"/>
    <tableColumn id="10" xr3:uid="{00000000-0010-0000-0200-00000A000000}" name="AilmentKeywords"/>
    <tableColumn id="11" xr3:uid="{00000000-0010-0000-0200-00000B000000}" name="Level"/>
    <tableColumn id="12" xr3:uid="{00000000-0010-0000-0200-00000C000000}" name="Cost"/>
    <tableColumn id="13" xr3:uid="{00000000-0010-0000-0200-00000D000000}" name="Reservation"/>
    <tableColumn id="14" xr3:uid="{00000000-0010-0000-0200-00000E000000}" name="CostReservationMultiplier"/>
    <tableColumn id="15" xr3:uid="{00000000-0010-0000-0200-00000F000000}" name="CooldownTime"/>
    <tableColumn id="16" xr3:uid="{00000000-0010-0000-0200-000010000000}" name="CanStoreUses"/>
    <tableColumn id="17" xr3:uid="{00000000-0010-0000-0200-000011000000}" name="CastTime"/>
    <tableColumn id="18" xr3:uid="{00000000-0010-0000-0200-000012000000}" name="RequiresLevel"/>
    <tableColumn id="19" xr3:uid="{00000000-0010-0000-0200-000013000000}" name="AttackSpeed"/>
    <tableColumn id="20" xr3:uid="{00000000-0010-0000-0200-000014000000}" name="AttackDamage"/>
    <tableColumn id="21" xr3:uid="{00000000-0010-0000-0200-000015000000}" name="EffectivenessAddedDamage"/>
    <tableColumn id="22" xr3:uid="{00000000-0010-0000-0200-000016000000}" name="AoERadius"/>
    <tableColumn id="23" xr3:uid="{00000000-0010-0000-0200-000017000000}" name="ProjectileSpeed"/>
    <tableColumn id="24" xr3:uid="{00000000-0010-0000-0200-000018000000}" name="Icon"/>
    <tableColumn id="25" xr3:uid="{00000000-0010-0000-0200-000019000000}" name="Description"/>
    <tableColumn id="26" xr3:uid="{00000000-0010-0000-0200-00001A000000}" name="ModifierLines"/>
    <tableColumn id="27" xr3:uid="{00000000-0010-0000-0200-00001B000000}" name="RawText"/>
    <tableColumn id="28" xr3:uid="{00000000-0010-0000-0200-00001C000000}" name="Archetype"/>
    <tableColumn id="29" xr3:uid="{00000000-0010-0000-0200-00001D000000}" name="AI_CombatRole"/>
    <tableColumn id="30" xr3:uid="{00000000-0010-0000-0200-00001E000000}" name="DefenseConver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esignSupportTable" displayName="DesignSupportTable" ref="A1:AE68">
  <tableColumns count="31">
    <tableColumn id="1" xr3:uid="{00000000-0010-0000-0300-000001000000}" name="SourceSheet"/>
    <tableColumn id="2" xr3:uid="{00000000-0010-0000-0300-000002000000}" name="SourceCell"/>
    <tableColumn id="3" xr3:uid="{00000000-0010-0000-0300-000003000000}" name="GemType"/>
    <tableColumn id="4" xr3:uid="{00000000-0010-0000-0300-000004000000}" name="Name"/>
    <tableColumn id="5" xr3:uid="{00000000-0010-0000-0300-000005000000}" name="Tags"/>
    <tableColumn id="6" xr3:uid="{00000000-0010-0000-0300-000006000000}" name="DamageType"/>
    <tableColumn id="7" xr3:uid="{00000000-0010-0000-0300-000007000000}" name="Scaling"/>
    <tableColumn id="8" xr3:uid="{00000000-0010-0000-0300-000008000000}" name="MechanicTags"/>
    <tableColumn id="9" xr3:uid="{00000000-0010-0000-0300-000009000000}" name="CombatRole"/>
    <tableColumn id="10" xr3:uid="{00000000-0010-0000-0300-00000A000000}" name="AilmentKeywords"/>
    <tableColumn id="11" xr3:uid="{00000000-0010-0000-0300-00000B000000}" name="Level"/>
    <tableColumn id="12" xr3:uid="{00000000-0010-0000-0300-00000C000000}" name="Cost"/>
    <tableColumn id="13" xr3:uid="{00000000-0010-0000-0300-00000D000000}" name="Reservation"/>
    <tableColumn id="14" xr3:uid="{00000000-0010-0000-0300-00000E000000}" name="CostReservationMultiplier"/>
    <tableColumn id="15" xr3:uid="{00000000-0010-0000-0300-00000F000000}" name="CooldownTime"/>
    <tableColumn id="16" xr3:uid="{00000000-0010-0000-0300-000010000000}" name="CanStoreUses"/>
    <tableColumn id="17" xr3:uid="{00000000-0010-0000-0300-000011000000}" name="CastTime"/>
    <tableColumn id="18" xr3:uid="{00000000-0010-0000-0300-000012000000}" name="RequiresLevel"/>
    <tableColumn id="19" xr3:uid="{00000000-0010-0000-0300-000013000000}" name="AttackSpeed"/>
    <tableColumn id="20" xr3:uid="{00000000-0010-0000-0300-000014000000}" name="AttackDamage"/>
    <tableColumn id="21" xr3:uid="{00000000-0010-0000-0300-000015000000}" name="EffectivenessAddedDamage"/>
    <tableColumn id="22" xr3:uid="{00000000-0010-0000-0300-000016000000}" name="AoERadius"/>
    <tableColumn id="23" xr3:uid="{00000000-0010-0000-0300-000017000000}" name="ProjectileSpeed"/>
    <tableColumn id="24" xr3:uid="{00000000-0010-0000-0300-000018000000}" name="Icon"/>
    <tableColumn id="25" xr3:uid="{00000000-0010-0000-0300-000019000000}" name="Description"/>
    <tableColumn id="26" xr3:uid="{00000000-0010-0000-0300-00001A000000}" name="ModifierLines"/>
    <tableColumn id="27" xr3:uid="{00000000-0010-0000-0300-00001B000000}" name="RawText"/>
    <tableColumn id="28" xr3:uid="{00000000-0010-0000-0300-00001C000000}" name="ModifierCategory"/>
    <tableColumn id="29" xr3:uid="{00000000-0010-0000-0300-00001D000000}" name="Affects"/>
    <tableColumn id="30" xr3:uid="{00000000-0010-0000-0300-00001E000000}" name="RestrictionSummary"/>
    <tableColumn id="31" xr3:uid="{00000000-0010-0000-0300-00001F000000}" name="DefenseModifi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signSummaryTable" displayName="DesignSummaryTable" ref="A1:D44">
  <tableColumns count="4">
    <tableColumn id="1" xr3:uid="{00000000-0010-0000-0400-000001000000}" name="Section"/>
    <tableColumn id="2" xr3:uid="{00000000-0010-0000-0400-000002000000}" name="Metric"/>
    <tableColumn id="3" xr3:uid="{00000000-0010-0000-0400-000003000000}" name="Count"/>
    <tableColumn id="4" xr3:uid="{00000000-0010-0000-0400-000004000000}" name="No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FENSEACTIVETable" displayName="DEFENSEACTIVETable" ref="A1:R56">
  <tableColumns count="18">
    <tableColumn id="1" xr3:uid="{00000000-0010-0000-0500-000001000000}" name="Skill"/>
    <tableColumn id="2" xr3:uid="{00000000-0010-0000-0500-000002000000}" name="OriginalTags"/>
    <tableColumn id="3" xr3:uid="{00000000-0010-0000-0500-000003000000}" name="DamageType"/>
    <tableColumn id="4" xr3:uid="{00000000-0010-0000-0500-000004000000}" name="PoE_Archetype"/>
    <tableColumn id="5" xr3:uid="{00000000-0010-0000-0500-000005000000}" name="DefenseSystem"/>
    <tableColumn id="6" xr3:uid="{00000000-0010-0000-0500-000006000000}" name="DefenseArchetype"/>
    <tableColumn id="7" xr3:uid="{00000000-0010-0000-0500-000007000000}" name="DefenseRole"/>
    <tableColumn id="8" xr3:uid="{00000000-0010-0000-0500-000008000000}" name="TargetingRule"/>
    <tableColumn id="9" xr3:uid="{00000000-0010-0000-0500-000009000000}" name="LaneInteraction"/>
    <tableColumn id="10" xr3:uid="{00000000-0010-0000-0500-00000A000000}" name="CoreMechanic"/>
    <tableColumn id="11" xr3:uid="{00000000-0010-0000-0500-00000B000000}" name="CooldownModel"/>
    <tableColumn id="12" xr3:uid="{00000000-0010-0000-0500-00000C000000}" name="RangeModel"/>
    <tableColumn id="13" xr3:uid="{00000000-0010-0000-0500-00000D000000}" name="CostModel"/>
    <tableColumn id="14" xr3:uid="{00000000-0010-0000-0500-00000E000000}" name="UpgradeHooks"/>
    <tableColumn id="15" xr3:uid="{00000000-0010-0000-0500-00000F000000}" name="Status/Ailment"/>
    <tableColumn id="16" xr3:uid="{00000000-0010-0000-0500-000010000000}" name="ImplementationNote"/>
    <tableColumn id="17" xr3:uid="{00000000-0010-0000-0500-000011000000}" name="OriginalDescription"/>
    <tableColumn id="18" xr3:uid="{00000000-0010-0000-0500-000012000000}" name="OriginalModifierLi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EFENSESUPPORTMODIFITable" displayName="DEFENSESUPPORTMODIFITable" ref="A1:L68">
  <tableColumns count="12">
    <tableColumn id="1" xr3:uid="{00000000-0010-0000-0600-000001000000}" name="SupportGem"/>
    <tableColumn id="2" xr3:uid="{00000000-0010-0000-0600-000002000000}" name="OriginalTags"/>
    <tableColumn id="3" xr3:uid="{00000000-0010-0000-0600-000003000000}" name="ModifierCategory"/>
    <tableColumn id="4" xr3:uid="{00000000-0010-0000-0600-000004000000}" name="CompatibleWith"/>
    <tableColumn id="5" xr3:uid="{00000000-0010-0000-0600-000005000000}" name="ModifierSlot"/>
    <tableColumn id="6" xr3:uid="{00000000-0010-0000-0600-000006000000}" name="DefenseEffect"/>
    <tableColumn id="7" xr3:uid="{00000000-0010-0000-0600-000007000000}" name="DefenseUseCase"/>
    <tableColumn id="8" xr3:uid="{00000000-0010-0000-0600-000008000000}" name="TradeoffModel"/>
    <tableColumn id="9" xr3:uid="{00000000-0010-0000-0600-000009000000}" name="StackingRule"/>
    <tableColumn id="10" xr3:uid="{00000000-0010-0000-0600-00000A000000}" name="RestrictionSummary"/>
    <tableColumn id="11" xr3:uid="{00000000-0010-0000-0600-00000B000000}" name="OriginalModifierLines"/>
    <tableColumn id="12" xr3:uid="{00000000-0010-0000-0600-00000C000000}" name="OriginalDescrip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FENSECONVERSIONRULTable" displayName="DEFENSECONVERSIONRULTable" ref="A1:D11">
  <tableColumns count="4">
    <tableColumn id="1" xr3:uid="{00000000-0010-0000-0700-000001000000}" name="Category"/>
    <tableColumn id="2" xr3:uid="{00000000-0010-0000-0700-000002000000}" name="Rule"/>
    <tableColumn id="3" xr3:uid="{00000000-0010-0000-0700-000003000000}" name="Defense Interpretation"/>
    <tableColumn id="4" xr3:uid="{00000000-0010-0000-0700-000004000000}" name="Implementation Hi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EFENSESUMMARYTable" displayName="DEFENSESUMMARYTable" ref="A1:C19">
  <tableColumns count="3">
    <tableColumn id="1" xr3:uid="{00000000-0010-0000-0800-000001000000}" name="Metric"/>
    <tableColumn id="2" xr3:uid="{00000000-0010-0000-0800-000002000000}" name="Value"/>
    <tableColumn id="3" xr3:uid="{00000000-0010-0000-0800-000003000000}" name="No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
  <sheetViews>
    <sheetView workbookViewId="0"/>
  </sheetViews>
  <sheetFormatPr defaultRowHeight="16.5" x14ac:dyDescent="0.3"/>
  <sheetData>
    <row r="1" spans="1:42" x14ac:dyDescent="0.3">
      <c r="A1" s="2"/>
      <c r="B1" s="2"/>
      <c r="C1" s="2"/>
      <c r="D1" s="2"/>
      <c r="E1" s="2"/>
      <c r="F1" s="2"/>
      <c r="G1" s="2"/>
      <c r="H1" s="2"/>
      <c r="I1" s="2"/>
      <c r="J1" s="2"/>
      <c r="K1" s="2"/>
      <c r="L1" s="2"/>
    </row>
    <row r="2" spans="1:42" ht="409.5" x14ac:dyDescent="0.3">
      <c r="A2" s="1" t="s">
        <v>0</v>
      </c>
      <c r="B2" s="1" t="s">
        <v>1</v>
      </c>
      <c r="C2" s="1" t="s">
        <v>2</v>
      </c>
      <c r="D2" s="1" t="s">
        <v>3</v>
      </c>
      <c r="E2" s="1" t="s">
        <v>4</v>
      </c>
      <c r="F2" s="1" t="s">
        <v>5</v>
      </c>
      <c r="G2" s="1" t="s">
        <v>6</v>
      </c>
      <c r="H2" s="1" t="s">
        <v>7</v>
      </c>
      <c r="I2" s="1" t="s">
        <v>8</v>
      </c>
      <c r="J2" s="1" t="s">
        <v>9</v>
      </c>
      <c r="K2" s="1" t="s">
        <v>10</v>
      </c>
      <c r="L2" s="1" t="s">
        <v>11</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spans="1:42" x14ac:dyDescent="0.3">
      <c r="A3" s="2"/>
      <c r="B3" s="2"/>
      <c r="C3" s="2"/>
      <c r="D3" s="2"/>
      <c r="E3" s="2"/>
      <c r="F3" s="2"/>
      <c r="G3" s="2"/>
      <c r="H3" s="2"/>
      <c r="I3" s="2"/>
      <c r="J3" s="2"/>
      <c r="K3" s="2"/>
      <c r="L3" s="2"/>
    </row>
    <row r="4" spans="1:42" ht="409.5" x14ac:dyDescent="0.3">
      <c r="A4" s="1" t="s">
        <v>12</v>
      </c>
      <c r="B4" s="1" t="s">
        <v>13</v>
      </c>
      <c r="C4" s="1" t="s">
        <v>14</v>
      </c>
      <c r="D4" s="1" t="s">
        <v>15</v>
      </c>
      <c r="E4" s="1" t="s">
        <v>16</v>
      </c>
      <c r="F4" s="1" t="s">
        <v>17</v>
      </c>
      <c r="G4" s="1" t="s">
        <v>18</v>
      </c>
      <c r="H4" s="1" t="s">
        <v>19</v>
      </c>
      <c r="I4" s="1" t="s">
        <v>20</v>
      </c>
      <c r="J4" s="1" t="s">
        <v>21</v>
      </c>
      <c r="K4" s="1" t="s">
        <v>22</v>
      </c>
      <c r="L4" s="1" t="s">
        <v>23</v>
      </c>
      <c r="M4" s="1" t="s">
        <v>24</v>
      </c>
      <c r="N4" s="1" t="s">
        <v>25</v>
      </c>
      <c r="O4" s="1" t="s">
        <v>26</v>
      </c>
      <c r="P4" s="1" t="s">
        <v>27</v>
      </c>
      <c r="Q4" s="1" t="s">
        <v>28</v>
      </c>
      <c r="R4" s="1" t="s">
        <v>29</v>
      </c>
      <c r="S4" s="1" t="s">
        <v>30</v>
      </c>
      <c r="T4" s="1" t="s">
        <v>31</v>
      </c>
      <c r="U4" s="1" t="s">
        <v>32</v>
      </c>
      <c r="V4" s="1" t="s">
        <v>33</v>
      </c>
      <c r="W4" s="1" t="s">
        <v>34</v>
      </c>
      <c r="X4" s="1" t="s">
        <v>35</v>
      </c>
      <c r="Y4" s="1" t="s">
        <v>36</v>
      </c>
      <c r="Z4" s="1" t="s">
        <v>37</v>
      </c>
      <c r="AA4" s="1" t="s">
        <v>38</v>
      </c>
    </row>
    <row r="6" spans="1:42" ht="409.5" x14ac:dyDescent="0.3">
      <c r="A6" s="1" t="s">
        <v>39</v>
      </c>
      <c r="B6" s="1" t="s">
        <v>40</v>
      </c>
      <c r="C6" s="1" t="s">
        <v>41</v>
      </c>
      <c r="D6" s="1" t="s">
        <v>42</v>
      </c>
      <c r="E6" s="1" t="s">
        <v>43</v>
      </c>
      <c r="F6" s="1" t="s">
        <v>44</v>
      </c>
      <c r="G6" s="1" t="s">
        <v>45</v>
      </c>
      <c r="H6" s="1" t="s">
        <v>46</v>
      </c>
      <c r="I6" s="1" t="s">
        <v>47</v>
      </c>
      <c r="J6" s="1" t="s">
        <v>48</v>
      </c>
      <c r="K6" s="1" t="s">
        <v>49</v>
      </c>
      <c r="L6" s="1" t="s">
        <v>50</v>
      </c>
      <c r="M6" s="1" t="s">
        <v>51</v>
      </c>
      <c r="N6" s="1" t="s">
        <v>52</v>
      </c>
      <c r="O6" s="1" t="s">
        <v>53</v>
      </c>
      <c r="P6" s="1" t="s">
        <v>54</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
  <sheetViews>
    <sheetView workbookViewId="0"/>
  </sheetViews>
  <sheetFormatPr defaultRowHeight="16.5" x14ac:dyDescent="0.3"/>
  <sheetData>
    <row r="1" spans="1:26" ht="409.5" x14ac:dyDescent="0.3">
      <c r="A1" s="1" t="s">
        <v>55</v>
      </c>
      <c r="B1" s="1" t="s">
        <v>56</v>
      </c>
      <c r="C1" s="1" t="s">
        <v>57</v>
      </c>
      <c r="D1" s="1" t="s">
        <v>58</v>
      </c>
      <c r="E1" s="1" t="s">
        <v>59</v>
      </c>
      <c r="F1" s="1" t="s">
        <v>60</v>
      </c>
      <c r="G1" s="1" t="s">
        <v>61</v>
      </c>
      <c r="H1" s="1" t="s">
        <v>62</v>
      </c>
      <c r="I1" s="1" t="s">
        <v>63</v>
      </c>
      <c r="J1" s="1" t="s">
        <v>64</v>
      </c>
      <c r="K1" s="1" t="s">
        <v>65</v>
      </c>
      <c r="L1" s="1" t="s">
        <v>66</v>
      </c>
      <c r="M1" s="1" t="s">
        <v>67</v>
      </c>
      <c r="N1" s="1" t="s">
        <v>68</v>
      </c>
      <c r="O1" s="1" t="s">
        <v>69</v>
      </c>
      <c r="P1" s="1" t="s">
        <v>70</v>
      </c>
      <c r="Q1" s="1" t="s">
        <v>71</v>
      </c>
      <c r="R1" s="1" t="s">
        <v>72</v>
      </c>
    </row>
    <row r="3" spans="1:26" ht="409.5" x14ac:dyDescent="0.3">
      <c r="A3" s="1" t="s">
        <v>73</v>
      </c>
      <c r="B3" s="1" t="s">
        <v>74</v>
      </c>
      <c r="C3" s="1" t="s">
        <v>75</v>
      </c>
      <c r="D3" s="1" t="s">
        <v>76</v>
      </c>
      <c r="E3" s="1" t="s">
        <v>77</v>
      </c>
      <c r="F3" s="1" t="s">
        <v>78</v>
      </c>
      <c r="G3" s="1" t="s">
        <v>79</v>
      </c>
      <c r="H3" s="1" t="s">
        <v>80</v>
      </c>
      <c r="I3" s="1" t="s">
        <v>81</v>
      </c>
      <c r="J3" s="1" t="s">
        <v>82</v>
      </c>
      <c r="K3" s="1" t="s">
        <v>83</v>
      </c>
      <c r="L3" s="1" t="s">
        <v>84</v>
      </c>
      <c r="M3" s="1" t="s">
        <v>85</v>
      </c>
      <c r="N3" s="1" t="s">
        <v>86</v>
      </c>
      <c r="O3" s="1" t="s">
        <v>87</v>
      </c>
      <c r="P3" s="1" t="s">
        <v>88</v>
      </c>
      <c r="Q3" s="1" t="s">
        <v>89</v>
      </c>
      <c r="R3" s="1" t="s">
        <v>90</v>
      </c>
      <c r="S3" s="1" t="s">
        <v>91</v>
      </c>
      <c r="T3" s="1" t="s">
        <v>92</v>
      </c>
      <c r="U3" s="1" t="s">
        <v>93</v>
      </c>
      <c r="V3" s="1" t="s">
        <v>94</v>
      </c>
      <c r="W3" s="1" t="s">
        <v>95</v>
      </c>
      <c r="X3" s="1" t="s">
        <v>96</v>
      </c>
      <c r="Y3" s="1" t="s">
        <v>97</v>
      </c>
      <c r="Z3" s="1" t="s">
        <v>98</v>
      </c>
    </row>
    <row r="5" spans="1:26" ht="409.5" x14ac:dyDescent="0.3">
      <c r="D5" s="1" t="s">
        <v>99</v>
      </c>
      <c r="E5" s="1" t="s">
        <v>100</v>
      </c>
      <c r="F5" s="1" t="s">
        <v>101</v>
      </c>
      <c r="G5" s="1" t="s">
        <v>102</v>
      </c>
      <c r="H5" s="1" t="s">
        <v>103</v>
      </c>
      <c r="I5" s="1" t="s">
        <v>104</v>
      </c>
      <c r="J5" s="1" t="s">
        <v>105</v>
      </c>
      <c r="K5" s="1" t="s">
        <v>106</v>
      </c>
      <c r="L5" s="1" t="s">
        <v>107</v>
      </c>
      <c r="M5" s="1" t="s">
        <v>108</v>
      </c>
      <c r="N5" s="1" t="s">
        <v>109</v>
      </c>
      <c r="O5" s="1" t="s">
        <v>110</v>
      </c>
      <c r="P5" s="1" t="s">
        <v>111</v>
      </c>
      <c r="Q5" s="1" t="s">
        <v>112</v>
      </c>
      <c r="R5" s="1" t="s">
        <v>113</v>
      </c>
      <c r="S5" s="1" t="s">
        <v>114</v>
      </c>
      <c r="T5" s="1" t="s">
        <v>115</v>
      </c>
      <c r="U5" s="1" t="s">
        <v>116</v>
      </c>
      <c r="V5" s="1" t="s">
        <v>117</v>
      </c>
      <c r="W5" s="1" t="s">
        <v>118</v>
      </c>
      <c r="X5" s="1" t="s">
        <v>119</v>
      </c>
      <c r="Y5" s="1" t="s">
        <v>120</v>
      </c>
      <c r="Z5" s="1" t="s">
        <v>121</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6"/>
  <sheetViews>
    <sheetView workbookViewId="0"/>
  </sheetViews>
  <sheetFormatPr defaultRowHeight="16.5" x14ac:dyDescent="0.3"/>
  <cols>
    <col min="1" max="3" width="10" customWidth="1"/>
    <col min="4" max="4" width="26" customWidth="1"/>
    <col min="5" max="5" width="32" customWidth="1"/>
    <col min="6" max="7" width="18" customWidth="1"/>
    <col min="8" max="8" width="28" customWidth="1"/>
    <col min="9" max="9" width="24" customWidth="1"/>
    <col min="10" max="10" width="20" customWidth="1"/>
    <col min="11" max="11" width="12" customWidth="1"/>
    <col min="12" max="13" width="16" customWidth="1"/>
    <col min="14" max="14" width="22" customWidth="1"/>
    <col min="15" max="15" width="18" customWidth="1"/>
    <col min="16" max="18" width="14" customWidth="1"/>
    <col min="19" max="19" width="18" customWidth="1"/>
    <col min="20" max="20" width="20" customWidth="1"/>
    <col min="21" max="21" width="24" customWidth="1"/>
    <col min="22" max="22" width="14" customWidth="1"/>
    <col min="23" max="23" width="18" customWidth="1"/>
    <col min="24" max="24" width="10" customWidth="1"/>
    <col min="25" max="25" width="45" customWidth="1"/>
    <col min="26" max="26" width="55" customWidth="1"/>
    <col min="27" max="27" width="65" customWidth="1"/>
  </cols>
  <sheetData>
    <row r="1" spans="1:27" ht="30" customHeight="1" x14ac:dyDescent="0.3">
      <c r="A1" s="3" t="s">
        <v>122</v>
      </c>
      <c r="B1" s="3" t="s">
        <v>123</v>
      </c>
      <c r="C1" s="3" t="s">
        <v>124</v>
      </c>
      <c r="D1" s="3" t="s">
        <v>125</v>
      </c>
      <c r="E1" s="3" t="s">
        <v>126</v>
      </c>
      <c r="F1" s="3" t="s">
        <v>127</v>
      </c>
      <c r="G1" s="3" t="s">
        <v>128</v>
      </c>
      <c r="H1" s="3" t="s">
        <v>129</v>
      </c>
      <c r="I1" s="3" t="s">
        <v>130</v>
      </c>
      <c r="J1" s="3" t="s">
        <v>131</v>
      </c>
      <c r="K1" s="3" t="s">
        <v>132</v>
      </c>
      <c r="L1" s="3" t="s">
        <v>133</v>
      </c>
      <c r="M1" s="3" t="s">
        <v>134</v>
      </c>
      <c r="N1" s="3" t="s">
        <v>135</v>
      </c>
      <c r="O1" s="3" t="s">
        <v>136</v>
      </c>
      <c r="P1" s="3" t="s">
        <v>137</v>
      </c>
      <c r="Q1" s="3" t="s">
        <v>138</v>
      </c>
      <c r="R1" s="3" t="s">
        <v>139</v>
      </c>
      <c r="S1" s="3" t="s">
        <v>140</v>
      </c>
      <c r="T1" s="3" t="s">
        <v>141</v>
      </c>
      <c r="U1" s="3" t="s">
        <v>142</v>
      </c>
      <c r="V1" s="3" t="s">
        <v>143</v>
      </c>
      <c r="W1" s="3" t="s">
        <v>144</v>
      </c>
      <c r="X1" s="3" t="s">
        <v>145</v>
      </c>
      <c r="Y1" s="3" t="s">
        <v>146</v>
      </c>
      <c r="Z1" s="3" t="s">
        <v>147</v>
      </c>
      <c r="AA1" s="3" t="s">
        <v>148</v>
      </c>
    </row>
    <row r="2" spans="1:27" ht="231" x14ac:dyDescent="0.3">
      <c r="A2" s="4" t="s">
        <v>149</v>
      </c>
      <c r="B2" s="4" t="s">
        <v>150</v>
      </c>
      <c r="C2" s="4" t="s">
        <v>151</v>
      </c>
      <c r="D2" s="4" t="s">
        <v>152</v>
      </c>
      <c r="E2" s="4" t="s">
        <v>153</v>
      </c>
      <c r="F2" s="4" t="s">
        <v>154</v>
      </c>
      <c r="G2" s="4" t="s">
        <v>155</v>
      </c>
      <c r="H2" s="4" t="s">
        <v>156</v>
      </c>
      <c r="I2" s="4" t="s">
        <v>157</v>
      </c>
      <c r="J2" s="4"/>
      <c r="K2" s="4" t="s">
        <v>158</v>
      </c>
      <c r="L2" s="4"/>
      <c r="M2" s="4" t="s">
        <v>159</v>
      </c>
      <c r="N2" s="4"/>
      <c r="O2" s="4" t="s">
        <v>160</v>
      </c>
      <c r="P2" s="4" t="s">
        <v>161</v>
      </c>
      <c r="Q2" s="4" t="s">
        <v>162</v>
      </c>
      <c r="R2" s="4" t="s">
        <v>163</v>
      </c>
      <c r="S2" s="4"/>
      <c r="T2" s="4"/>
      <c r="U2" s="4"/>
      <c r="V2" s="4"/>
      <c r="W2" s="4"/>
      <c r="X2" s="4"/>
      <c r="Y2" s="4" t="s">
        <v>164</v>
      </c>
      <c r="Z2" s="4" t="s">
        <v>165</v>
      </c>
      <c r="AA2" s="4" t="s">
        <v>0</v>
      </c>
    </row>
    <row r="3" spans="1:27" ht="247.5" x14ac:dyDescent="0.3">
      <c r="A3" s="4" t="s">
        <v>149</v>
      </c>
      <c r="B3" s="4" t="s">
        <v>166</v>
      </c>
      <c r="C3" s="4" t="s">
        <v>151</v>
      </c>
      <c r="D3" s="4" t="s">
        <v>167</v>
      </c>
      <c r="E3" s="4" t="s">
        <v>168</v>
      </c>
      <c r="F3" s="4"/>
      <c r="G3" s="4" t="s">
        <v>169</v>
      </c>
      <c r="H3" s="4" t="s">
        <v>170</v>
      </c>
      <c r="I3" s="4" t="s">
        <v>171</v>
      </c>
      <c r="J3" s="4" t="s">
        <v>172</v>
      </c>
      <c r="K3" s="4" t="s">
        <v>158</v>
      </c>
      <c r="L3" s="4" t="s">
        <v>173</v>
      </c>
      <c r="M3" s="4"/>
      <c r="N3" s="4"/>
      <c r="O3" s="4"/>
      <c r="P3" s="4"/>
      <c r="Q3" s="4"/>
      <c r="R3" s="4" t="s">
        <v>174</v>
      </c>
      <c r="S3" s="4" t="s">
        <v>175</v>
      </c>
      <c r="T3" s="4" t="s">
        <v>176</v>
      </c>
      <c r="U3" s="4" t="s">
        <v>177</v>
      </c>
      <c r="V3" s="4" t="s">
        <v>178</v>
      </c>
      <c r="W3" s="4"/>
      <c r="X3" s="4"/>
      <c r="Y3" s="4" t="s">
        <v>179</v>
      </c>
      <c r="Z3" s="4" t="s">
        <v>180</v>
      </c>
      <c r="AA3" s="4" t="s">
        <v>1</v>
      </c>
    </row>
    <row r="4" spans="1:27" ht="280.5" x14ac:dyDescent="0.3">
      <c r="A4" s="4" t="s">
        <v>149</v>
      </c>
      <c r="B4" s="4" t="s">
        <v>181</v>
      </c>
      <c r="C4" s="4" t="s">
        <v>151</v>
      </c>
      <c r="D4" s="4" t="s">
        <v>182</v>
      </c>
      <c r="E4" s="4" t="s">
        <v>183</v>
      </c>
      <c r="F4" s="4" t="s">
        <v>184</v>
      </c>
      <c r="G4" s="4" t="s">
        <v>155</v>
      </c>
      <c r="H4" s="4" t="s">
        <v>185</v>
      </c>
      <c r="I4" s="4" t="s">
        <v>186</v>
      </c>
      <c r="J4" s="4"/>
      <c r="K4" s="4" t="s">
        <v>158</v>
      </c>
      <c r="L4" s="4" t="s">
        <v>187</v>
      </c>
      <c r="M4" s="4"/>
      <c r="N4" s="4"/>
      <c r="O4" s="4"/>
      <c r="P4" s="4"/>
      <c r="Q4" s="4" t="s">
        <v>188</v>
      </c>
      <c r="R4" s="4" t="s">
        <v>189</v>
      </c>
      <c r="S4" s="4"/>
      <c r="T4" s="4"/>
      <c r="U4" s="4" t="s">
        <v>190</v>
      </c>
      <c r="V4" s="4"/>
      <c r="W4" s="4"/>
      <c r="X4" s="4"/>
      <c r="Y4" s="4" t="s">
        <v>191</v>
      </c>
      <c r="Z4" s="4" t="s">
        <v>192</v>
      </c>
      <c r="AA4" s="4" t="s">
        <v>2</v>
      </c>
    </row>
    <row r="5" spans="1:27" ht="247.5" x14ac:dyDescent="0.3">
      <c r="A5" s="4" t="s">
        <v>149</v>
      </c>
      <c r="B5" s="4" t="s">
        <v>193</v>
      </c>
      <c r="C5" s="4" t="s">
        <v>151</v>
      </c>
      <c r="D5" s="4" t="s">
        <v>194</v>
      </c>
      <c r="E5" s="4" t="s">
        <v>195</v>
      </c>
      <c r="F5" s="4"/>
      <c r="G5" s="4" t="s">
        <v>169</v>
      </c>
      <c r="H5" s="4" t="s">
        <v>170</v>
      </c>
      <c r="I5" s="4" t="s">
        <v>196</v>
      </c>
      <c r="J5" s="4" t="s">
        <v>197</v>
      </c>
      <c r="K5" s="4" t="s">
        <v>158</v>
      </c>
      <c r="L5" s="4" t="s">
        <v>198</v>
      </c>
      <c r="M5" s="4"/>
      <c r="N5" s="4"/>
      <c r="O5" s="4"/>
      <c r="P5" s="4"/>
      <c r="Q5" s="4"/>
      <c r="R5" s="4"/>
      <c r="S5" s="4" t="s">
        <v>199</v>
      </c>
      <c r="T5" s="4" t="s">
        <v>200</v>
      </c>
      <c r="U5" s="4" t="s">
        <v>201</v>
      </c>
      <c r="V5" s="4" t="s">
        <v>202</v>
      </c>
      <c r="W5" s="4"/>
      <c r="X5" s="4"/>
      <c r="Y5" s="4" t="s">
        <v>203</v>
      </c>
      <c r="Z5" s="4" t="s">
        <v>204</v>
      </c>
      <c r="AA5" s="4" t="s">
        <v>3</v>
      </c>
    </row>
    <row r="6" spans="1:27" ht="297" x14ac:dyDescent="0.3">
      <c r="A6" s="4" t="s">
        <v>149</v>
      </c>
      <c r="B6" s="4" t="s">
        <v>205</v>
      </c>
      <c r="C6" s="4" t="s">
        <v>151</v>
      </c>
      <c r="D6" s="4" t="s">
        <v>206</v>
      </c>
      <c r="E6" s="4" t="s">
        <v>207</v>
      </c>
      <c r="F6" s="4" t="s">
        <v>154</v>
      </c>
      <c r="G6" s="4" t="s">
        <v>155</v>
      </c>
      <c r="H6" s="4" t="s">
        <v>208</v>
      </c>
      <c r="I6" s="4" t="s">
        <v>209</v>
      </c>
      <c r="J6" s="4"/>
      <c r="K6" s="4" t="s">
        <v>158</v>
      </c>
      <c r="L6" s="4"/>
      <c r="M6" s="4" t="s">
        <v>210</v>
      </c>
      <c r="N6" s="4"/>
      <c r="O6" s="4" t="s">
        <v>211</v>
      </c>
      <c r="P6" s="4" t="s">
        <v>161</v>
      </c>
      <c r="Q6" s="4" t="s">
        <v>162</v>
      </c>
      <c r="R6" s="4" t="s">
        <v>212</v>
      </c>
      <c r="S6" s="4"/>
      <c r="T6" s="4"/>
      <c r="U6" s="4"/>
      <c r="V6" s="4" t="s">
        <v>213</v>
      </c>
      <c r="W6" s="4"/>
      <c r="X6" s="4"/>
      <c r="Y6" s="4" t="s">
        <v>214</v>
      </c>
      <c r="Z6" s="4" t="s">
        <v>215</v>
      </c>
      <c r="AA6" s="4" t="s">
        <v>4</v>
      </c>
    </row>
    <row r="7" spans="1:27" ht="231" x14ac:dyDescent="0.3">
      <c r="A7" s="4" t="s">
        <v>149</v>
      </c>
      <c r="B7" s="4" t="s">
        <v>216</v>
      </c>
      <c r="C7" s="4" t="s">
        <v>151</v>
      </c>
      <c r="D7" s="4" t="s">
        <v>217</v>
      </c>
      <c r="E7" s="4" t="s">
        <v>218</v>
      </c>
      <c r="F7" s="4" t="s">
        <v>154</v>
      </c>
      <c r="G7" s="4" t="s">
        <v>169</v>
      </c>
      <c r="H7" s="4" t="s">
        <v>219</v>
      </c>
      <c r="I7" s="4" t="s">
        <v>220</v>
      </c>
      <c r="J7" s="4"/>
      <c r="K7" s="4" t="s">
        <v>158</v>
      </c>
      <c r="L7" s="4" t="s">
        <v>221</v>
      </c>
      <c r="M7" s="4"/>
      <c r="N7" s="4"/>
      <c r="O7" s="4"/>
      <c r="P7" s="4"/>
      <c r="Q7" s="4"/>
      <c r="R7" s="4"/>
      <c r="S7" s="4"/>
      <c r="T7" s="4" t="s">
        <v>222</v>
      </c>
      <c r="U7" s="4" t="s">
        <v>223</v>
      </c>
      <c r="V7" s="4"/>
      <c r="W7" s="4" t="s">
        <v>224</v>
      </c>
      <c r="X7" s="4"/>
      <c r="Y7" s="4" t="s">
        <v>225</v>
      </c>
      <c r="Z7" s="4" t="s">
        <v>226</v>
      </c>
      <c r="AA7" s="4" t="s">
        <v>5</v>
      </c>
    </row>
    <row r="8" spans="1:27" ht="198" x14ac:dyDescent="0.3">
      <c r="A8" s="4" t="s">
        <v>149</v>
      </c>
      <c r="B8" s="4" t="s">
        <v>227</v>
      </c>
      <c r="C8" s="4" t="s">
        <v>151</v>
      </c>
      <c r="D8" s="4" t="s">
        <v>228</v>
      </c>
      <c r="E8" s="4" t="s">
        <v>229</v>
      </c>
      <c r="F8" s="4" t="s">
        <v>184</v>
      </c>
      <c r="G8" s="4" t="s">
        <v>155</v>
      </c>
      <c r="H8" s="4" t="s">
        <v>230</v>
      </c>
      <c r="I8" s="4" t="s">
        <v>157</v>
      </c>
      <c r="J8" s="4"/>
      <c r="K8" s="4" t="s">
        <v>158</v>
      </c>
      <c r="L8" s="4"/>
      <c r="M8" s="4" t="s">
        <v>159</v>
      </c>
      <c r="N8" s="4"/>
      <c r="O8" s="4" t="s">
        <v>160</v>
      </c>
      <c r="P8" s="4" t="s">
        <v>161</v>
      </c>
      <c r="Q8" s="4" t="s">
        <v>162</v>
      </c>
      <c r="R8" s="4" t="s">
        <v>163</v>
      </c>
      <c r="S8" s="4"/>
      <c r="T8" s="4"/>
      <c r="U8" s="4"/>
      <c r="V8" s="4"/>
      <c r="W8" s="4"/>
      <c r="X8" s="4"/>
      <c r="Y8" s="4" t="s">
        <v>231</v>
      </c>
      <c r="Z8" s="4" t="s">
        <v>232</v>
      </c>
      <c r="AA8" s="4" t="s">
        <v>6</v>
      </c>
    </row>
    <row r="9" spans="1:27" ht="346.5" x14ac:dyDescent="0.3">
      <c r="A9" s="4" t="s">
        <v>149</v>
      </c>
      <c r="B9" s="4" t="s">
        <v>233</v>
      </c>
      <c r="C9" s="4" t="s">
        <v>151</v>
      </c>
      <c r="D9" s="4" t="s">
        <v>234</v>
      </c>
      <c r="E9" s="4" t="s">
        <v>235</v>
      </c>
      <c r="F9" s="4" t="s">
        <v>184</v>
      </c>
      <c r="G9" s="4" t="s">
        <v>155</v>
      </c>
      <c r="H9" s="4" t="s">
        <v>236</v>
      </c>
      <c r="I9" s="4" t="s">
        <v>171</v>
      </c>
      <c r="J9" s="4"/>
      <c r="K9" s="4" t="s">
        <v>158</v>
      </c>
      <c r="L9" s="4" t="s">
        <v>237</v>
      </c>
      <c r="M9" s="4"/>
      <c r="N9" s="4"/>
      <c r="O9" s="4"/>
      <c r="P9" s="4"/>
      <c r="Q9" s="4" t="s">
        <v>188</v>
      </c>
      <c r="R9" s="4" t="s">
        <v>174</v>
      </c>
      <c r="S9" s="4"/>
      <c r="T9" s="4"/>
      <c r="U9" s="4" t="s">
        <v>238</v>
      </c>
      <c r="V9" s="4"/>
      <c r="W9" s="4"/>
      <c r="X9" s="4"/>
      <c r="Y9" s="4" t="s">
        <v>239</v>
      </c>
      <c r="Z9" s="4" t="s">
        <v>240</v>
      </c>
      <c r="AA9" s="4" t="s">
        <v>7</v>
      </c>
    </row>
    <row r="10" spans="1:27" ht="313.5" x14ac:dyDescent="0.3">
      <c r="A10" s="4" t="s">
        <v>149</v>
      </c>
      <c r="B10" s="4" t="s">
        <v>241</v>
      </c>
      <c r="C10" s="4" t="s">
        <v>151</v>
      </c>
      <c r="D10" s="4" t="s">
        <v>242</v>
      </c>
      <c r="E10" s="4" t="s">
        <v>243</v>
      </c>
      <c r="F10" s="4" t="s">
        <v>244</v>
      </c>
      <c r="G10" s="4" t="s">
        <v>169</v>
      </c>
      <c r="H10" s="4" t="s">
        <v>245</v>
      </c>
      <c r="I10" s="4" t="s">
        <v>209</v>
      </c>
      <c r="J10" s="4" t="s">
        <v>172</v>
      </c>
      <c r="K10" s="4" t="s">
        <v>158</v>
      </c>
      <c r="L10" s="4" t="s">
        <v>246</v>
      </c>
      <c r="M10" s="4"/>
      <c r="N10" s="4"/>
      <c r="O10" s="4"/>
      <c r="P10" s="4"/>
      <c r="Q10" s="4"/>
      <c r="R10" s="4"/>
      <c r="S10" s="4" t="s">
        <v>247</v>
      </c>
      <c r="T10" s="4" t="s">
        <v>248</v>
      </c>
      <c r="U10" s="4" t="s">
        <v>249</v>
      </c>
      <c r="V10" s="4"/>
      <c r="W10" s="4"/>
      <c r="X10" s="4"/>
      <c r="Y10" s="4" t="s">
        <v>250</v>
      </c>
      <c r="Z10" s="4" t="s">
        <v>251</v>
      </c>
      <c r="AA10" s="4" t="s">
        <v>8</v>
      </c>
    </row>
    <row r="11" spans="1:27" ht="231" x14ac:dyDescent="0.3">
      <c r="A11" s="4" t="s">
        <v>149</v>
      </c>
      <c r="B11" s="4" t="s">
        <v>252</v>
      </c>
      <c r="C11" s="4" t="s">
        <v>151</v>
      </c>
      <c r="D11" s="4" t="s">
        <v>253</v>
      </c>
      <c r="E11" s="4" t="s">
        <v>254</v>
      </c>
      <c r="F11" s="4" t="s">
        <v>184</v>
      </c>
      <c r="G11" s="4" t="s">
        <v>255</v>
      </c>
      <c r="H11" s="4" t="s">
        <v>256</v>
      </c>
      <c r="I11" s="4" t="s">
        <v>257</v>
      </c>
      <c r="J11" s="4"/>
      <c r="K11" s="4" t="s">
        <v>158</v>
      </c>
      <c r="L11" s="4" t="s">
        <v>258</v>
      </c>
      <c r="M11" s="4"/>
      <c r="N11" s="4"/>
      <c r="O11" s="4" t="s">
        <v>259</v>
      </c>
      <c r="P11" s="4" t="s">
        <v>161</v>
      </c>
      <c r="Q11" s="4" t="s">
        <v>211</v>
      </c>
      <c r="R11" s="4" t="s">
        <v>260</v>
      </c>
      <c r="S11" s="4"/>
      <c r="T11" s="4"/>
      <c r="U11" s="4"/>
      <c r="V11" s="4"/>
      <c r="W11" s="4"/>
      <c r="X11" s="4"/>
      <c r="Y11" s="4" t="s">
        <v>261</v>
      </c>
      <c r="Z11" s="4" t="s">
        <v>262</v>
      </c>
      <c r="AA11" s="4" t="s">
        <v>9</v>
      </c>
    </row>
    <row r="12" spans="1:27" ht="280.5" x14ac:dyDescent="0.3">
      <c r="A12" s="4" t="s">
        <v>149</v>
      </c>
      <c r="B12" s="4" t="s">
        <v>263</v>
      </c>
      <c r="C12" s="4" t="s">
        <v>151</v>
      </c>
      <c r="D12" s="4" t="s">
        <v>264</v>
      </c>
      <c r="E12" s="4" t="s">
        <v>265</v>
      </c>
      <c r="F12" s="4"/>
      <c r="G12" s="4" t="s">
        <v>169</v>
      </c>
      <c r="H12" s="4" t="s">
        <v>266</v>
      </c>
      <c r="I12" s="4" t="s">
        <v>196</v>
      </c>
      <c r="J12" s="4"/>
      <c r="K12" s="4" t="s">
        <v>158</v>
      </c>
      <c r="L12" s="4" t="s">
        <v>267</v>
      </c>
      <c r="M12" s="4"/>
      <c r="N12" s="4"/>
      <c r="O12" s="4" t="s">
        <v>268</v>
      </c>
      <c r="P12" s="4" t="s">
        <v>161</v>
      </c>
      <c r="Q12" s="4"/>
      <c r="R12" s="4" t="s">
        <v>212</v>
      </c>
      <c r="S12" s="4"/>
      <c r="T12" s="4" t="s">
        <v>269</v>
      </c>
      <c r="U12" s="4" t="s">
        <v>270</v>
      </c>
      <c r="V12" s="4"/>
      <c r="W12" s="4"/>
      <c r="X12" s="4"/>
      <c r="Y12" s="4" t="s">
        <v>271</v>
      </c>
      <c r="Z12" s="4" t="s">
        <v>272</v>
      </c>
      <c r="AA12" s="4" t="s">
        <v>10</v>
      </c>
    </row>
    <row r="13" spans="1:27" ht="247.5" x14ac:dyDescent="0.3">
      <c r="A13" s="4" t="s">
        <v>149</v>
      </c>
      <c r="B13" s="4" t="s">
        <v>273</v>
      </c>
      <c r="C13" s="4" t="s">
        <v>151</v>
      </c>
      <c r="D13" s="4" t="s">
        <v>274</v>
      </c>
      <c r="E13" s="4" t="s">
        <v>275</v>
      </c>
      <c r="F13" s="4" t="s">
        <v>154</v>
      </c>
      <c r="G13" s="4" t="s">
        <v>169</v>
      </c>
      <c r="H13" s="4" t="s">
        <v>276</v>
      </c>
      <c r="I13" s="4" t="s">
        <v>220</v>
      </c>
      <c r="J13" s="4"/>
      <c r="K13" s="4" t="s">
        <v>158</v>
      </c>
      <c r="L13" s="4" t="s">
        <v>277</v>
      </c>
      <c r="M13" s="4"/>
      <c r="N13" s="4"/>
      <c r="O13" s="4"/>
      <c r="P13" s="4"/>
      <c r="Q13" s="4"/>
      <c r="R13" s="4" t="s">
        <v>189</v>
      </c>
      <c r="S13" s="4" t="s">
        <v>278</v>
      </c>
      <c r="T13" s="4" t="s">
        <v>279</v>
      </c>
      <c r="U13" s="4" t="s">
        <v>280</v>
      </c>
      <c r="V13" s="4"/>
      <c r="W13" s="4"/>
      <c r="X13" s="4"/>
      <c r="Y13" s="4" t="s">
        <v>281</v>
      </c>
      <c r="Z13" s="4" t="s">
        <v>282</v>
      </c>
      <c r="AA13" s="4" t="s">
        <v>283</v>
      </c>
    </row>
    <row r="14" spans="1:27" ht="280.5" x14ac:dyDescent="0.3">
      <c r="A14" s="4" t="s">
        <v>149</v>
      </c>
      <c r="B14" s="4" t="s">
        <v>284</v>
      </c>
      <c r="C14" s="4" t="s">
        <v>151</v>
      </c>
      <c r="D14" s="4" t="s">
        <v>285</v>
      </c>
      <c r="E14" s="4" t="s">
        <v>286</v>
      </c>
      <c r="F14" s="4" t="s">
        <v>184</v>
      </c>
      <c r="G14" s="4" t="s">
        <v>255</v>
      </c>
      <c r="H14" s="4" t="s">
        <v>256</v>
      </c>
      <c r="I14" s="4" t="s">
        <v>287</v>
      </c>
      <c r="J14" s="4"/>
      <c r="K14" s="4" t="s">
        <v>158</v>
      </c>
      <c r="L14" s="4" t="s">
        <v>288</v>
      </c>
      <c r="M14" s="4"/>
      <c r="N14" s="4"/>
      <c r="O14" s="4"/>
      <c r="P14" s="4"/>
      <c r="Q14" s="4" t="s">
        <v>289</v>
      </c>
      <c r="R14" s="4" t="s">
        <v>290</v>
      </c>
      <c r="S14" s="4"/>
      <c r="T14" s="4"/>
      <c r="U14" s="4"/>
      <c r="V14" s="4"/>
      <c r="W14" s="4"/>
      <c r="X14" s="4"/>
      <c r="Y14" s="4" t="s">
        <v>291</v>
      </c>
      <c r="Z14" s="4" t="s">
        <v>292</v>
      </c>
      <c r="AA14" s="4" t="s">
        <v>12</v>
      </c>
    </row>
    <row r="15" spans="1:27" ht="214.5" x14ac:dyDescent="0.3">
      <c r="A15" s="4" t="s">
        <v>149</v>
      </c>
      <c r="B15" s="4" t="s">
        <v>293</v>
      </c>
      <c r="C15" s="4" t="s">
        <v>151</v>
      </c>
      <c r="D15" s="4" t="s">
        <v>294</v>
      </c>
      <c r="E15" s="4" t="s">
        <v>295</v>
      </c>
      <c r="F15" s="4"/>
      <c r="G15" s="4" t="s">
        <v>296</v>
      </c>
      <c r="H15" s="4" t="s">
        <v>297</v>
      </c>
      <c r="I15" s="4" t="s">
        <v>298</v>
      </c>
      <c r="J15" s="4"/>
      <c r="K15" s="4" t="s">
        <v>158</v>
      </c>
      <c r="L15" s="4" t="s">
        <v>299</v>
      </c>
      <c r="M15" s="4"/>
      <c r="N15" s="4"/>
      <c r="O15" s="4"/>
      <c r="P15" s="4"/>
      <c r="Q15" s="4"/>
      <c r="R15" s="4" t="s">
        <v>189</v>
      </c>
      <c r="S15" s="4" t="s">
        <v>300</v>
      </c>
      <c r="T15" s="4" t="s">
        <v>301</v>
      </c>
      <c r="U15" s="4" t="s">
        <v>302</v>
      </c>
      <c r="V15" s="4"/>
      <c r="W15" s="4"/>
      <c r="X15" s="4"/>
      <c r="Y15" s="4" t="s">
        <v>303</v>
      </c>
      <c r="Z15" s="4" t="s">
        <v>304</v>
      </c>
      <c r="AA15" s="4" t="s">
        <v>13</v>
      </c>
    </row>
    <row r="16" spans="1:27" ht="280.5" x14ac:dyDescent="0.3">
      <c r="A16" s="4" t="s">
        <v>149</v>
      </c>
      <c r="B16" s="4" t="s">
        <v>305</v>
      </c>
      <c r="C16" s="4" t="s">
        <v>151</v>
      </c>
      <c r="D16" s="4" t="s">
        <v>306</v>
      </c>
      <c r="E16" s="4" t="s">
        <v>307</v>
      </c>
      <c r="F16" s="4" t="s">
        <v>184</v>
      </c>
      <c r="G16" s="4" t="s">
        <v>155</v>
      </c>
      <c r="H16" s="4" t="s">
        <v>236</v>
      </c>
      <c r="I16" s="4" t="s">
        <v>171</v>
      </c>
      <c r="J16" s="4"/>
      <c r="K16" s="4" t="s">
        <v>158</v>
      </c>
      <c r="L16" s="4" t="s">
        <v>308</v>
      </c>
      <c r="M16" s="4"/>
      <c r="N16" s="4"/>
      <c r="O16" s="4"/>
      <c r="P16" s="4"/>
      <c r="Q16" s="4" t="s">
        <v>309</v>
      </c>
      <c r="R16" s="4" t="s">
        <v>189</v>
      </c>
      <c r="S16" s="4"/>
      <c r="T16" s="4"/>
      <c r="U16" s="4" t="s">
        <v>310</v>
      </c>
      <c r="V16" s="4"/>
      <c r="W16" s="4"/>
      <c r="X16" s="4"/>
      <c r="Y16" s="4" t="s">
        <v>311</v>
      </c>
      <c r="Z16" s="4" t="s">
        <v>312</v>
      </c>
      <c r="AA16" s="4" t="s">
        <v>14</v>
      </c>
    </row>
    <row r="17" spans="1:27" ht="214.5" x14ac:dyDescent="0.3">
      <c r="A17" s="4" t="s">
        <v>149</v>
      </c>
      <c r="B17" s="4" t="s">
        <v>313</v>
      </c>
      <c r="C17" s="4" t="s">
        <v>151</v>
      </c>
      <c r="D17" s="4" t="s">
        <v>314</v>
      </c>
      <c r="E17" s="4" t="s">
        <v>315</v>
      </c>
      <c r="F17" s="4" t="s">
        <v>154</v>
      </c>
      <c r="G17" s="4" t="s">
        <v>296</v>
      </c>
      <c r="H17" s="4" t="s">
        <v>316</v>
      </c>
      <c r="I17" s="4" t="s">
        <v>220</v>
      </c>
      <c r="J17" s="4"/>
      <c r="K17" s="4" t="s">
        <v>158</v>
      </c>
      <c r="L17" s="4" t="s">
        <v>267</v>
      </c>
      <c r="M17" s="4"/>
      <c r="N17" s="4"/>
      <c r="O17" s="4"/>
      <c r="P17" s="4"/>
      <c r="Q17" s="4"/>
      <c r="R17" s="4" t="s">
        <v>174</v>
      </c>
      <c r="S17" s="4"/>
      <c r="T17" s="4" t="s">
        <v>317</v>
      </c>
      <c r="U17" s="4" t="s">
        <v>318</v>
      </c>
      <c r="V17" s="4"/>
      <c r="W17" s="4"/>
      <c r="X17" s="4"/>
      <c r="Y17" s="4" t="s">
        <v>319</v>
      </c>
      <c r="Z17" s="4" t="s">
        <v>320</v>
      </c>
      <c r="AA17" s="4" t="s">
        <v>15</v>
      </c>
    </row>
    <row r="18" spans="1:27" ht="181.5" x14ac:dyDescent="0.3">
      <c r="A18" s="4" t="s">
        <v>149</v>
      </c>
      <c r="B18" s="4" t="s">
        <v>321</v>
      </c>
      <c r="C18" s="4" t="s">
        <v>151</v>
      </c>
      <c r="D18" s="4" t="s">
        <v>322</v>
      </c>
      <c r="E18" s="4" t="s">
        <v>323</v>
      </c>
      <c r="F18" s="4" t="s">
        <v>154</v>
      </c>
      <c r="G18" s="4" t="s">
        <v>296</v>
      </c>
      <c r="H18" s="4" t="s">
        <v>297</v>
      </c>
      <c r="I18" s="4" t="s">
        <v>298</v>
      </c>
      <c r="J18" s="4" t="s">
        <v>324</v>
      </c>
      <c r="K18" s="4" t="s">
        <v>158</v>
      </c>
      <c r="L18" s="4" t="s">
        <v>325</v>
      </c>
      <c r="M18" s="4"/>
      <c r="N18" s="4"/>
      <c r="O18" s="4"/>
      <c r="P18" s="4"/>
      <c r="Q18" s="4"/>
      <c r="R18" s="4"/>
      <c r="S18" s="4" t="s">
        <v>326</v>
      </c>
      <c r="T18" s="4" t="s">
        <v>327</v>
      </c>
      <c r="U18" s="4" t="s">
        <v>328</v>
      </c>
      <c r="V18" s="4"/>
      <c r="W18" s="4" t="s">
        <v>329</v>
      </c>
      <c r="X18" s="4"/>
      <c r="Y18" s="4" t="s">
        <v>330</v>
      </c>
      <c r="Z18" s="4" t="s">
        <v>331</v>
      </c>
      <c r="AA18" s="4" t="s">
        <v>332</v>
      </c>
    </row>
    <row r="19" spans="1:27" ht="214.5" x14ac:dyDescent="0.3">
      <c r="A19" s="4" t="s">
        <v>149</v>
      </c>
      <c r="B19" s="4" t="s">
        <v>333</v>
      </c>
      <c r="C19" s="4" t="s">
        <v>151</v>
      </c>
      <c r="D19" s="4" t="s">
        <v>334</v>
      </c>
      <c r="E19" s="4" t="s">
        <v>335</v>
      </c>
      <c r="F19" s="4" t="s">
        <v>336</v>
      </c>
      <c r="G19" s="4" t="s">
        <v>337</v>
      </c>
      <c r="H19" s="4" t="s">
        <v>298</v>
      </c>
      <c r="I19" s="4" t="s">
        <v>338</v>
      </c>
      <c r="J19" s="4" t="s">
        <v>339</v>
      </c>
      <c r="K19" s="4" t="s">
        <v>158</v>
      </c>
      <c r="L19" s="4" t="s">
        <v>340</v>
      </c>
      <c r="M19" s="4"/>
      <c r="N19" s="4"/>
      <c r="O19" s="4"/>
      <c r="P19" s="4"/>
      <c r="Q19" s="4"/>
      <c r="R19" s="4"/>
      <c r="S19" s="4" t="s">
        <v>341</v>
      </c>
      <c r="T19" s="4" t="s">
        <v>342</v>
      </c>
      <c r="U19" s="4" t="s">
        <v>343</v>
      </c>
      <c r="V19" s="4"/>
      <c r="W19" s="4"/>
      <c r="X19" s="4"/>
      <c r="Y19" s="4" t="s">
        <v>344</v>
      </c>
      <c r="Z19" s="4" t="s">
        <v>345</v>
      </c>
      <c r="AA19" s="4" t="s">
        <v>17</v>
      </c>
    </row>
    <row r="20" spans="1:27" ht="231" x14ac:dyDescent="0.3">
      <c r="A20" s="4" t="s">
        <v>149</v>
      </c>
      <c r="B20" s="4" t="s">
        <v>346</v>
      </c>
      <c r="C20" s="4" t="s">
        <v>151</v>
      </c>
      <c r="D20" s="4" t="s">
        <v>347</v>
      </c>
      <c r="E20" s="4" t="s">
        <v>348</v>
      </c>
      <c r="F20" s="4"/>
      <c r="G20" s="4" t="s">
        <v>169</v>
      </c>
      <c r="H20" s="4" t="s">
        <v>349</v>
      </c>
      <c r="I20" s="4" t="s">
        <v>350</v>
      </c>
      <c r="J20" s="4"/>
      <c r="K20" s="4" t="s">
        <v>158</v>
      </c>
      <c r="L20" s="4" t="s">
        <v>351</v>
      </c>
      <c r="M20" s="4"/>
      <c r="N20" s="4"/>
      <c r="O20" s="4"/>
      <c r="P20" s="4"/>
      <c r="Q20" s="4"/>
      <c r="R20" s="4" t="s">
        <v>174</v>
      </c>
      <c r="S20" s="4" t="s">
        <v>352</v>
      </c>
      <c r="T20" s="4" t="s">
        <v>353</v>
      </c>
      <c r="U20" s="4" t="s">
        <v>354</v>
      </c>
      <c r="V20" s="4" t="s">
        <v>355</v>
      </c>
      <c r="W20" s="4"/>
      <c r="X20" s="4"/>
      <c r="Y20" s="4" t="s">
        <v>356</v>
      </c>
      <c r="Z20" s="4" t="s">
        <v>357</v>
      </c>
      <c r="AA20" s="4" t="s">
        <v>18</v>
      </c>
    </row>
    <row r="21" spans="1:27" ht="264" x14ac:dyDescent="0.3">
      <c r="A21" s="4" t="s">
        <v>149</v>
      </c>
      <c r="B21" s="4" t="s">
        <v>358</v>
      </c>
      <c r="C21" s="4" t="s">
        <v>151</v>
      </c>
      <c r="D21" s="4" t="s">
        <v>359</v>
      </c>
      <c r="E21" s="4" t="s">
        <v>360</v>
      </c>
      <c r="F21" s="4" t="s">
        <v>154</v>
      </c>
      <c r="G21" s="4" t="s">
        <v>155</v>
      </c>
      <c r="H21" s="4" t="s">
        <v>236</v>
      </c>
      <c r="I21" s="4" t="s">
        <v>196</v>
      </c>
      <c r="J21" s="4"/>
      <c r="K21" s="4" t="s">
        <v>158</v>
      </c>
      <c r="L21" s="4" t="s">
        <v>361</v>
      </c>
      <c r="M21" s="4"/>
      <c r="N21" s="4"/>
      <c r="O21" s="4"/>
      <c r="P21" s="4"/>
      <c r="Q21" s="4" t="s">
        <v>289</v>
      </c>
      <c r="R21" s="4" t="s">
        <v>290</v>
      </c>
      <c r="S21" s="4"/>
      <c r="T21" s="4"/>
      <c r="U21" s="4" t="s">
        <v>362</v>
      </c>
      <c r="V21" s="4" t="s">
        <v>363</v>
      </c>
      <c r="W21" s="4"/>
      <c r="X21" s="4"/>
      <c r="Y21" s="4" t="s">
        <v>364</v>
      </c>
      <c r="Z21" s="4" t="s">
        <v>365</v>
      </c>
      <c r="AA21" s="4" t="s">
        <v>19</v>
      </c>
    </row>
    <row r="22" spans="1:27" ht="346.5" x14ac:dyDescent="0.3">
      <c r="A22" s="4" t="s">
        <v>149</v>
      </c>
      <c r="B22" s="4" t="s">
        <v>366</v>
      </c>
      <c r="C22" s="4" t="s">
        <v>151</v>
      </c>
      <c r="D22" s="4" t="s">
        <v>367</v>
      </c>
      <c r="E22" s="4" t="s">
        <v>368</v>
      </c>
      <c r="F22" s="4" t="s">
        <v>154</v>
      </c>
      <c r="G22" s="4" t="s">
        <v>296</v>
      </c>
      <c r="H22" s="4" t="s">
        <v>369</v>
      </c>
      <c r="I22" s="4" t="s">
        <v>370</v>
      </c>
      <c r="J22" s="4"/>
      <c r="K22" s="4" t="s">
        <v>158</v>
      </c>
      <c r="L22" s="4" t="s">
        <v>267</v>
      </c>
      <c r="M22" s="4"/>
      <c r="N22" s="4"/>
      <c r="O22" s="4"/>
      <c r="P22" s="4"/>
      <c r="Q22" s="4"/>
      <c r="R22" s="4" t="s">
        <v>174</v>
      </c>
      <c r="S22" s="4"/>
      <c r="T22" s="4"/>
      <c r="U22" s="4"/>
      <c r="V22" s="4" t="s">
        <v>371</v>
      </c>
      <c r="W22" s="4" t="s">
        <v>329</v>
      </c>
      <c r="X22" s="4"/>
      <c r="Y22" s="4" t="s">
        <v>372</v>
      </c>
      <c r="Z22" s="4" t="s">
        <v>373</v>
      </c>
      <c r="AA22" s="4" t="s">
        <v>20</v>
      </c>
    </row>
    <row r="23" spans="1:27" ht="346.5" x14ac:dyDescent="0.3">
      <c r="A23" s="4" t="s">
        <v>149</v>
      </c>
      <c r="B23" s="4" t="s">
        <v>374</v>
      </c>
      <c r="C23" s="4" t="s">
        <v>151</v>
      </c>
      <c r="D23" s="4" t="s">
        <v>375</v>
      </c>
      <c r="E23" s="4" t="s">
        <v>376</v>
      </c>
      <c r="F23" s="4" t="s">
        <v>377</v>
      </c>
      <c r="G23" s="4" t="s">
        <v>337</v>
      </c>
      <c r="H23" s="4" t="s">
        <v>378</v>
      </c>
      <c r="I23" s="4" t="s">
        <v>220</v>
      </c>
      <c r="J23" s="4" t="s">
        <v>324</v>
      </c>
      <c r="K23" s="4" t="s">
        <v>158</v>
      </c>
      <c r="L23" s="4" t="s">
        <v>379</v>
      </c>
      <c r="M23" s="4"/>
      <c r="N23" s="4"/>
      <c r="O23" s="4"/>
      <c r="P23" s="4"/>
      <c r="Q23" s="4"/>
      <c r="R23" s="4" t="s">
        <v>174</v>
      </c>
      <c r="S23" s="4" t="s">
        <v>300</v>
      </c>
      <c r="T23" s="4"/>
      <c r="U23" s="4"/>
      <c r="V23" s="4"/>
      <c r="W23" s="4"/>
      <c r="X23" s="4"/>
      <c r="Y23" s="4" t="s">
        <v>380</v>
      </c>
      <c r="Z23" s="4" t="s">
        <v>381</v>
      </c>
      <c r="AA23" s="4" t="s">
        <v>382</v>
      </c>
    </row>
    <row r="24" spans="1:27" ht="297" x14ac:dyDescent="0.3">
      <c r="A24" s="4" t="s">
        <v>149</v>
      </c>
      <c r="B24" s="4" t="s">
        <v>383</v>
      </c>
      <c r="C24" s="4" t="s">
        <v>151</v>
      </c>
      <c r="D24" s="4" t="s">
        <v>384</v>
      </c>
      <c r="E24" s="4" t="s">
        <v>385</v>
      </c>
      <c r="F24" s="4"/>
      <c r="G24" s="4" t="s">
        <v>169</v>
      </c>
      <c r="H24" s="4" t="s">
        <v>386</v>
      </c>
      <c r="I24" s="4" t="s">
        <v>387</v>
      </c>
      <c r="J24" s="4"/>
      <c r="K24" s="4" t="s">
        <v>158</v>
      </c>
      <c r="L24" s="4" t="s">
        <v>340</v>
      </c>
      <c r="M24" s="4"/>
      <c r="N24" s="4"/>
      <c r="O24" s="4" t="s">
        <v>388</v>
      </c>
      <c r="P24" s="4" t="s">
        <v>161</v>
      </c>
      <c r="Q24" s="4"/>
      <c r="R24" s="4" t="s">
        <v>213</v>
      </c>
      <c r="S24" s="4" t="s">
        <v>341</v>
      </c>
      <c r="T24" s="4" t="s">
        <v>389</v>
      </c>
      <c r="U24" s="4" t="s">
        <v>390</v>
      </c>
      <c r="V24" s="4"/>
      <c r="W24" s="4"/>
      <c r="X24" s="4"/>
      <c r="Y24" s="4" t="s">
        <v>391</v>
      </c>
      <c r="Z24" s="4" t="s">
        <v>392</v>
      </c>
      <c r="AA24" s="4" t="s">
        <v>22</v>
      </c>
    </row>
    <row r="25" spans="1:27" ht="214.5" x14ac:dyDescent="0.3">
      <c r="A25" s="4" t="s">
        <v>149</v>
      </c>
      <c r="B25" s="4" t="s">
        <v>393</v>
      </c>
      <c r="C25" s="4" t="s">
        <v>151</v>
      </c>
      <c r="D25" s="4" t="s">
        <v>394</v>
      </c>
      <c r="E25" s="4" t="s">
        <v>395</v>
      </c>
      <c r="F25" s="4" t="s">
        <v>396</v>
      </c>
      <c r="G25" s="4" t="s">
        <v>169</v>
      </c>
      <c r="H25" s="4" t="s">
        <v>397</v>
      </c>
      <c r="I25" s="4" t="s">
        <v>298</v>
      </c>
      <c r="J25" s="4"/>
      <c r="K25" s="4" t="s">
        <v>158</v>
      </c>
      <c r="L25" s="4" t="s">
        <v>221</v>
      </c>
      <c r="M25" s="4"/>
      <c r="N25" s="4"/>
      <c r="O25" s="4"/>
      <c r="P25" s="4"/>
      <c r="Q25" s="4"/>
      <c r="R25" s="4"/>
      <c r="S25" s="4"/>
      <c r="T25" s="4" t="s">
        <v>398</v>
      </c>
      <c r="U25" s="4" t="s">
        <v>399</v>
      </c>
      <c r="V25" s="4"/>
      <c r="W25" s="4" t="s">
        <v>400</v>
      </c>
      <c r="X25" s="4"/>
      <c r="Y25" s="4" t="s">
        <v>401</v>
      </c>
      <c r="Z25" s="4" t="s">
        <v>402</v>
      </c>
      <c r="AA25" s="4" t="s">
        <v>23</v>
      </c>
    </row>
    <row r="26" spans="1:27" ht="231" x14ac:dyDescent="0.3">
      <c r="A26" s="4" t="s">
        <v>149</v>
      </c>
      <c r="B26" s="4" t="s">
        <v>403</v>
      </c>
      <c r="C26" s="4" t="s">
        <v>151</v>
      </c>
      <c r="D26" s="4" t="s">
        <v>404</v>
      </c>
      <c r="E26" s="4" t="s">
        <v>405</v>
      </c>
      <c r="F26" s="4" t="s">
        <v>244</v>
      </c>
      <c r="G26" s="4" t="s">
        <v>296</v>
      </c>
      <c r="H26" s="4" t="s">
        <v>369</v>
      </c>
      <c r="I26" s="4" t="s">
        <v>220</v>
      </c>
      <c r="J26" s="4"/>
      <c r="K26" s="4" t="s">
        <v>158</v>
      </c>
      <c r="L26" s="4" t="s">
        <v>221</v>
      </c>
      <c r="M26" s="4"/>
      <c r="N26" s="4"/>
      <c r="O26" s="4"/>
      <c r="P26" s="4"/>
      <c r="Q26" s="4"/>
      <c r="R26" s="4"/>
      <c r="S26" s="4"/>
      <c r="T26" s="4" t="s">
        <v>406</v>
      </c>
      <c r="U26" s="4" t="s">
        <v>407</v>
      </c>
      <c r="V26" s="4"/>
      <c r="W26" s="4"/>
      <c r="X26" s="4"/>
      <c r="Y26" s="4" t="s">
        <v>408</v>
      </c>
      <c r="Z26" s="4" t="s">
        <v>409</v>
      </c>
      <c r="AA26" s="4" t="s">
        <v>410</v>
      </c>
    </row>
    <row r="27" spans="1:27" ht="247.5" x14ac:dyDescent="0.3">
      <c r="A27" s="4" t="s">
        <v>149</v>
      </c>
      <c r="B27" s="4" t="s">
        <v>411</v>
      </c>
      <c r="C27" s="4" t="s">
        <v>151</v>
      </c>
      <c r="D27" s="4" t="s">
        <v>412</v>
      </c>
      <c r="E27" s="4" t="s">
        <v>413</v>
      </c>
      <c r="F27" s="4"/>
      <c r="G27" s="4" t="s">
        <v>155</v>
      </c>
      <c r="H27" s="4" t="s">
        <v>156</v>
      </c>
      <c r="I27" s="4" t="s">
        <v>157</v>
      </c>
      <c r="J27" s="4"/>
      <c r="K27" s="4" t="s">
        <v>158</v>
      </c>
      <c r="L27" s="4"/>
      <c r="M27" s="4" t="s">
        <v>159</v>
      </c>
      <c r="N27" s="4"/>
      <c r="O27" s="4" t="s">
        <v>160</v>
      </c>
      <c r="P27" s="4" t="s">
        <v>161</v>
      </c>
      <c r="Q27" s="4" t="s">
        <v>162</v>
      </c>
      <c r="R27" s="4" t="s">
        <v>163</v>
      </c>
      <c r="S27" s="4"/>
      <c r="T27" s="4"/>
      <c r="U27" s="4"/>
      <c r="V27" s="4" t="s">
        <v>414</v>
      </c>
      <c r="W27" s="4"/>
      <c r="X27" s="4"/>
      <c r="Y27" s="4" t="s">
        <v>415</v>
      </c>
      <c r="Z27" s="4" t="s">
        <v>416</v>
      </c>
      <c r="AA27" s="4" t="s">
        <v>25</v>
      </c>
    </row>
    <row r="28" spans="1:27" ht="231" x14ac:dyDescent="0.3">
      <c r="A28" s="4" t="s">
        <v>149</v>
      </c>
      <c r="B28" s="4" t="s">
        <v>417</v>
      </c>
      <c r="C28" s="4" t="s">
        <v>151</v>
      </c>
      <c r="D28" s="4" t="s">
        <v>418</v>
      </c>
      <c r="E28" s="4" t="s">
        <v>419</v>
      </c>
      <c r="F28" s="4" t="s">
        <v>396</v>
      </c>
      <c r="G28" s="4" t="s">
        <v>155</v>
      </c>
      <c r="H28" s="4" t="s">
        <v>156</v>
      </c>
      <c r="I28" s="4" t="s">
        <v>157</v>
      </c>
      <c r="J28" s="4"/>
      <c r="K28" s="4" t="s">
        <v>158</v>
      </c>
      <c r="L28" s="4"/>
      <c r="M28" s="4" t="s">
        <v>159</v>
      </c>
      <c r="N28" s="4"/>
      <c r="O28" s="4" t="s">
        <v>160</v>
      </c>
      <c r="P28" s="4" t="s">
        <v>161</v>
      </c>
      <c r="Q28" s="4" t="s">
        <v>162</v>
      </c>
      <c r="R28" s="4" t="s">
        <v>163</v>
      </c>
      <c r="S28" s="4"/>
      <c r="T28" s="4"/>
      <c r="U28" s="4"/>
      <c r="V28" s="4" t="s">
        <v>414</v>
      </c>
      <c r="W28" s="4"/>
      <c r="X28" s="4"/>
      <c r="Y28" s="4" t="s">
        <v>420</v>
      </c>
      <c r="Z28" s="4" t="s">
        <v>421</v>
      </c>
      <c r="AA28" s="4" t="s">
        <v>26</v>
      </c>
    </row>
    <row r="29" spans="1:27" ht="396" x14ac:dyDescent="0.3">
      <c r="A29" s="4" t="s">
        <v>149</v>
      </c>
      <c r="B29" s="4" t="s">
        <v>422</v>
      </c>
      <c r="C29" s="4" t="s">
        <v>151</v>
      </c>
      <c r="D29" s="4" t="s">
        <v>423</v>
      </c>
      <c r="E29" s="4" t="s">
        <v>424</v>
      </c>
      <c r="F29" s="4" t="s">
        <v>425</v>
      </c>
      <c r="G29" s="4" t="s">
        <v>255</v>
      </c>
      <c r="H29" s="4" t="s">
        <v>426</v>
      </c>
      <c r="I29" s="4" t="s">
        <v>427</v>
      </c>
      <c r="J29" s="4" t="s">
        <v>339</v>
      </c>
      <c r="K29" s="4" t="s">
        <v>158</v>
      </c>
      <c r="L29" s="4"/>
      <c r="M29" s="4" t="s">
        <v>210</v>
      </c>
      <c r="N29" s="4"/>
      <c r="O29" s="4" t="s">
        <v>211</v>
      </c>
      <c r="P29" s="4" t="s">
        <v>161</v>
      </c>
      <c r="Q29" s="4" t="s">
        <v>162</v>
      </c>
      <c r="R29" s="4" t="s">
        <v>212</v>
      </c>
      <c r="S29" s="4"/>
      <c r="T29" s="4"/>
      <c r="U29" s="4"/>
      <c r="V29" s="4"/>
      <c r="W29" s="4"/>
      <c r="X29" s="4"/>
      <c r="Y29" s="4" t="s">
        <v>428</v>
      </c>
      <c r="Z29" s="4" t="s">
        <v>429</v>
      </c>
      <c r="AA29" s="4" t="s">
        <v>27</v>
      </c>
    </row>
    <row r="30" spans="1:27" ht="297" x14ac:dyDescent="0.3">
      <c r="A30" s="4" t="s">
        <v>149</v>
      </c>
      <c r="B30" s="4" t="s">
        <v>430</v>
      </c>
      <c r="C30" s="4" t="s">
        <v>151</v>
      </c>
      <c r="D30" s="4" t="s">
        <v>431</v>
      </c>
      <c r="E30" s="4" t="s">
        <v>432</v>
      </c>
      <c r="F30" s="4" t="s">
        <v>396</v>
      </c>
      <c r="G30" s="4" t="s">
        <v>155</v>
      </c>
      <c r="H30" s="4" t="s">
        <v>208</v>
      </c>
      <c r="I30" s="4" t="s">
        <v>157</v>
      </c>
      <c r="J30" s="4"/>
      <c r="K30" s="4" t="s">
        <v>158</v>
      </c>
      <c r="L30" s="4"/>
      <c r="M30" s="4" t="s">
        <v>210</v>
      </c>
      <c r="N30" s="4"/>
      <c r="O30" s="4" t="s">
        <v>211</v>
      </c>
      <c r="P30" s="4" t="s">
        <v>161</v>
      </c>
      <c r="Q30" s="4" t="s">
        <v>162</v>
      </c>
      <c r="R30" s="4" t="s">
        <v>212</v>
      </c>
      <c r="S30" s="4"/>
      <c r="T30" s="4"/>
      <c r="U30" s="4" t="s">
        <v>433</v>
      </c>
      <c r="V30" s="4"/>
      <c r="W30" s="4"/>
      <c r="X30" s="4"/>
      <c r="Y30" s="4" t="s">
        <v>434</v>
      </c>
      <c r="Z30" s="4" t="s">
        <v>435</v>
      </c>
      <c r="AA30" s="4" t="s">
        <v>28</v>
      </c>
    </row>
    <row r="31" spans="1:27" ht="214.5" x14ac:dyDescent="0.3">
      <c r="A31" s="4" t="s">
        <v>149</v>
      </c>
      <c r="B31" s="4" t="s">
        <v>436</v>
      </c>
      <c r="C31" s="4" t="s">
        <v>151</v>
      </c>
      <c r="D31" s="4" t="s">
        <v>437</v>
      </c>
      <c r="E31" s="4" t="s">
        <v>438</v>
      </c>
      <c r="F31" s="4" t="s">
        <v>396</v>
      </c>
      <c r="G31" s="4" t="s">
        <v>296</v>
      </c>
      <c r="H31" s="4" t="s">
        <v>369</v>
      </c>
      <c r="I31" s="4" t="s">
        <v>220</v>
      </c>
      <c r="J31" s="4" t="s">
        <v>439</v>
      </c>
      <c r="K31" s="4" t="s">
        <v>158</v>
      </c>
      <c r="L31" s="4" t="s">
        <v>221</v>
      </c>
      <c r="M31" s="4"/>
      <c r="N31" s="4"/>
      <c r="O31" s="4"/>
      <c r="P31" s="4"/>
      <c r="Q31" s="4"/>
      <c r="R31" s="4"/>
      <c r="S31" s="4"/>
      <c r="T31" s="4" t="s">
        <v>440</v>
      </c>
      <c r="U31" s="4" t="s">
        <v>441</v>
      </c>
      <c r="V31" s="4" t="s">
        <v>442</v>
      </c>
      <c r="W31" s="4" t="s">
        <v>329</v>
      </c>
      <c r="X31" s="4"/>
      <c r="Y31" s="4" t="s">
        <v>443</v>
      </c>
      <c r="Z31" s="4" t="s">
        <v>444</v>
      </c>
      <c r="AA31" s="4" t="s">
        <v>29</v>
      </c>
    </row>
    <row r="32" spans="1:27" ht="297" x14ac:dyDescent="0.3">
      <c r="A32" s="4" t="s">
        <v>149</v>
      </c>
      <c r="B32" s="4" t="s">
        <v>445</v>
      </c>
      <c r="C32" s="4" t="s">
        <v>151</v>
      </c>
      <c r="D32" s="4" t="s">
        <v>446</v>
      </c>
      <c r="E32" s="4" t="s">
        <v>447</v>
      </c>
      <c r="F32" s="4" t="s">
        <v>184</v>
      </c>
      <c r="G32" s="4" t="s">
        <v>169</v>
      </c>
      <c r="H32" s="4" t="s">
        <v>448</v>
      </c>
      <c r="I32" s="4" t="s">
        <v>196</v>
      </c>
      <c r="J32" s="4" t="s">
        <v>449</v>
      </c>
      <c r="K32" s="4" t="s">
        <v>158</v>
      </c>
      <c r="L32" s="4" t="s">
        <v>450</v>
      </c>
      <c r="M32" s="4"/>
      <c r="N32" s="4"/>
      <c r="O32" s="4"/>
      <c r="P32" s="4"/>
      <c r="Q32" s="4"/>
      <c r="R32" s="4" t="s">
        <v>189</v>
      </c>
      <c r="S32" s="4" t="s">
        <v>451</v>
      </c>
      <c r="T32" s="4" t="s">
        <v>452</v>
      </c>
      <c r="U32" s="4" t="s">
        <v>453</v>
      </c>
      <c r="V32" s="4" t="s">
        <v>454</v>
      </c>
      <c r="W32" s="4"/>
      <c r="X32" s="4"/>
      <c r="Y32" s="4" t="s">
        <v>455</v>
      </c>
      <c r="Z32" s="4" t="s">
        <v>456</v>
      </c>
      <c r="AA32" s="4" t="s">
        <v>30</v>
      </c>
    </row>
    <row r="33" spans="1:27" ht="231" x14ac:dyDescent="0.3">
      <c r="A33" s="4" t="s">
        <v>149</v>
      </c>
      <c r="B33" s="4" t="s">
        <v>457</v>
      </c>
      <c r="C33" s="4" t="s">
        <v>151</v>
      </c>
      <c r="D33" s="4" t="s">
        <v>458</v>
      </c>
      <c r="E33" s="4" t="s">
        <v>459</v>
      </c>
      <c r="F33" s="4" t="s">
        <v>244</v>
      </c>
      <c r="G33" s="4" t="s">
        <v>296</v>
      </c>
      <c r="H33" s="4" t="s">
        <v>316</v>
      </c>
      <c r="I33" s="4" t="s">
        <v>220</v>
      </c>
      <c r="J33" s="4" t="s">
        <v>172</v>
      </c>
      <c r="K33" s="4" t="s">
        <v>158</v>
      </c>
      <c r="L33" s="4" t="s">
        <v>221</v>
      </c>
      <c r="M33" s="4"/>
      <c r="N33" s="4"/>
      <c r="O33" s="4"/>
      <c r="P33" s="4"/>
      <c r="Q33" s="4"/>
      <c r="R33" s="4" t="s">
        <v>189</v>
      </c>
      <c r="S33" s="4"/>
      <c r="T33" s="4" t="s">
        <v>460</v>
      </c>
      <c r="U33" s="4" t="s">
        <v>461</v>
      </c>
      <c r="V33" s="4"/>
      <c r="W33" s="4" t="s">
        <v>329</v>
      </c>
      <c r="X33" s="4"/>
      <c r="Y33" s="4" t="s">
        <v>462</v>
      </c>
      <c r="Z33" s="4" t="s">
        <v>463</v>
      </c>
      <c r="AA33" s="4" t="s">
        <v>31</v>
      </c>
    </row>
    <row r="34" spans="1:27" ht="247.5" x14ac:dyDescent="0.3">
      <c r="A34" s="4" t="s">
        <v>149</v>
      </c>
      <c r="B34" s="4" t="s">
        <v>464</v>
      </c>
      <c r="C34" s="4" t="s">
        <v>151</v>
      </c>
      <c r="D34" s="4" t="s">
        <v>465</v>
      </c>
      <c r="E34" s="4" t="s">
        <v>466</v>
      </c>
      <c r="F34" s="4" t="s">
        <v>244</v>
      </c>
      <c r="G34" s="4" t="s">
        <v>169</v>
      </c>
      <c r="H34" s="4" t="s">
        <v>397</v>
      </c>
      <c r="I34" s="4" t="s">
        <v>298</v>
      </c>
      <c r="J34" s="4"/>
      <c r="K34" s="4" t="s">
        <v>158</v>
      </c>
      <c r="L34" s="4" t="s">
        <v>221</v>
      </c>
      <c r="M34" s="4"/>
      <c r="N34" s="4"/>
      <c r="O34" s="4"/>
      <c r="P34" s="4"/>
      <c r="Q34" s="4"/>
      <c r="R34" s="4" t="s">
        <v>189</v>
      </c>
      <c r="S34" s="4"/>
      <c r="T34" s="4" t="s">
        <v>467</v>
      </c>
      <c r="U34" s="4" t="s">
        <v>468</v>
      </c>
      <c r="V34" s="4"/>
      <c r="W34" s="4"/>
      <c r="X34" s="4"/>
      <c r="Y34" s="4" t="s">
        <v>469</v>
      </c>
      <c r="Z34" s="4" t="s">
        <v>470</v>
      </c>
      <c r="AA34" s="4" t="s">
        <v>32</v>
      </c>
    </row>
    <row r="35" spans="1:27" ht="264" x14ac:dyDescent="0.3">
      <c r="A35" s="4" t="s">
        <v>149</v>
      </c>
      <c r="B35" s="4" t="s">
        <v>471</v>
      </c>
      <c r="C35" s="4" t="s">
        <v>151</v>
      </c>
      <c r="D35" s="4" t="s">
        <v>472</v>
      </c>
      <c r="E35" s="4" t="s">
        <v>473</v>
      </c>
      <c r="F35" s="4" t="s">
        <v>336</v>
      </c>
      <c r="G35" s="4" t="s">
        <v>337</v>
      </c>
      <c r="H35" s="4" t="s">
        <v>378</v>
      </c>
      <c r="I35" s="4" t="s">
        <v>220</v>
      </c>
      <c r="J35" s="4" t="s">
        <v>339</v>
      </c>
      <c r="K35" s="4" t="s">
        <v>158</v>
      </c>
      <c r="L35" s="4" t="s">
        <v>299</v>
      </c>
      <c r="M35" s="4"/>
      <c r="N35" s="4"/>
      <c r="O35" s="4"/>
      <c r="P35" s="4"/>
      <c r="Q35" s="4"/>
      <c r="R35" s="4" t="s">
        <v>189</v>
      </c>
      <c r="S35" s="4" t="s">
        <v>300</v>
      </c>
      <c r="T35" s="4"/>
      <c r="U35" s="4"/>
      <c r="V35" s="4"/>
      <c r="W35" s="4"/>
      <c r="X35" s="4"/>
      <c r="Y35" s="4" t="s">
        <v>474</v>
      </c>
      <c r="Z35" s="4" t="s">
        <v>475</v>
      </c>
      <c r="AA35" s="4" t="s">
        <v>33</v>
      </c>
    </row>
    <row r="36" spans="1:27" ht="214.5" x14ac:dyDescent="0.3">
      <c r="A36" s="4" t="s">
        <v>149</v>
      </c>
      <c r="B36" s="4" t="s">
        <v>476</v>
      </c>
      <c r="C36" s="4" t="s">
        <v>151</v>
      </c>
      <c r="D36" s="4" t="s">
        <v>477</v>
      </c>
      <c r="E36" s="4" t="s">
        <v>478</v>
      </c>
      <c r="F36" s="4"/>
      <c r="G36" s="4" t="s">
        <v>155</v>
      </c>
      <c r="H36" s="4" t="s">
        <v>156</v>
      </c>
      <c r="I36" s="4" t="s">
        <v>157</v>
      </c>
      <c r="J36" s="4"/>
      <c r="K36" s="4" t="s">
        <v>158</v>
      </c>
      <c r="L36" s="4"/>
      <c r="M36" s="4" t="s">
        <v>479</v>
      </c>
      <c r="N36" s="4"/>
      <c r="O36" s="4" t="s">
        <v>160</v>
      </c>
      <c r="P36" s="4" t="s">
        <v>161</v>
      </c>
      <c r="Q36" s="4" t="s">
        <v>162</v>
      </c>
      <c r="R36" s="4" t="s">
        <v>213</v>
      </c>
      <c r="S36" s="4"/>
      <c r="T36" s="4"/>
      <c r="U36" s="4"/>
      <c r="V36" s="4"/>
      <c r="W36" s="4"/>
      <c r="X36" s="4"/>
      <c r="Y36" s="4" t="s">
        <v>480</v>
      </c>
      <c r="Z36" s="4" t="s">
        <v>481</v>
      </c>
      <c r="AA36" s="4" t="s">
        <v>34</v>
      </c>
    </row>
    <row r="37" spans="1:27" ht="214.5" x14ac:dyDescent="0.3">
      <c r="A37" s="4" t="s">
        <v>149</v>
      </c>
      <c r="B37" s="4" t="s">
        <v>482</v>
      </c>
      <c r="C37" s="4" t="s">
        <v>151</v>
      </c>
      <c r="D37" s="4" t="s">
        <v>483</v>
      </c>
      <c r="E37" s="4" t="s">
        <v>484</v>
      </c>
      <c r="F37" s="4"/>
      <c r="G37" s="4" t="s">
        <v>296</v>
      </c>
      <c r="H37" s="4" t="s">
        <v>316</v>
      </c>
      <c r="I37" s="4" t="s">
        <v>220</v>
      </c>
      <c r="J37" s="4"/>
      <c r="K37" s="4" t="s">
        <v>158</v>
      </c>
      <c r="L37" s="4" t="s">
        <v>221</v>
      </c>
      <c r="M37" s="4"/>
      <c r="N37" s="4"/>
      <c r="O37" s="4"/>
      <c r="P37" s="4"/>
      <c r="Q37" s="4"/>
      <c r="R37" s="4" t="s">
        <v>189</v>
      </c>
      <c r="S37" s="4"/>
      <c r="T37" s="4" t="s">
        <v>485</v>
      </c>
      <c r="U37" s="4" t="s">
        <v>486</v>
      </c>
      <c r="V37" s="4" t="s">
        <v>163</v>
      </c>
      <c r="W37" s="4"/>
      <c r="X37" s="4"/>
      <c r="Y37" s="4"/>
      <c r="Z37" s="4" t="s">
        <v>487</v>
      </c>
      <c r="AA37" s="4" t="s">
        <v>35</v>
      </c>
    </row>
    <row r="38" spans="1:27" ht="330" x14ac:dyDescent="0.3">
      <c r="A38" s="4" t="s">
        <v>149</v>
      </c>
      <c r="B38" s="4" t="s">
        <v>488</v>
      </c>
      <c r="C38" s="4" t="s">
        <v>151</v>
      </c>
      <c r="D38" s="4" t="s">
        <v>489</v>
      </c>
      <c r="E38" s="4" t="s">
        <v>490</v>
      </c>
      <c r="F38" s="4" t="s">
        <v>336</v>
      </c>
      <c r="G38" s="4" t="s">
        <v>296</v>
      </c>
      <c r="H38" s="4" t="s">
        <v>491</v>
      </c>
      <c r="I38" s="4" t="s">
        <v>492</v>
      </c>
      <c r="J38" s="4"/>
      <c r="K38" s="4" t="s">
        <v>158</v>
      </c>
      <c r="L38" s="4" t="s">
        <v>493</v>
      </c>
      <c r="M38" s="4"/>
      <c r="N38" s="4"/>
      <c r="O38" s="4"/>
      <c r="P38" s="4"/>
      <c r="Q38" s="4"/>
      <c r="R38" s="4" t="s">
        <v>174</v>
      </c>
      <c r="S38" s="4" t="s">
        <v>494</v>
      </c>
      <c r="T38" s="4" t="s">
        <v>495</v>
      </c>
      <c r="U38" s="4" t="s">
        <v>496</v>
      </c>
      <c r="V38" s="4"/>
      <c r="W38" s="4"/>
      <c r="X38" s="4"/>
      <c r="Y38" s="4" t="s">
        <v>497</v>
      </c>
      <c r="Z38" s="4" t="s">
        <v>498</v>
      </c>
      <c r="AA38" s="4" t="s">
        <v>36</v>
      </c>
    </row>
    <row r="39" spans="1:27" ht="198" x14ac:dyDescent="0.3">
      <c r="A39" s="4" t="s">
        <v>149</v>
      </c>
      <c r="B39" s="4" t="s">
        <v>499</v>
      </c>
      <c r="C39" s="4" t="s">
        <v>151</v>
      </c>
      <c r="D39" s="4" t="s">
        <v>500</v>
      </c>
      <c r="E39" s="4" t="s">
        <v>295</v>
      </c>
      <c r="F39" s="4"/>
      <c r="G39" s="4" t="s">
        <v>296</v>
      </c>
      <c r="H39" s="4" t="s">
        <v>297</v>
      </c>
      <c r="I39" s="4" t="s">
        <v>298</v>
      </c>
      <c r="J39" s="4"/>
      <c r="K39" s="4" t="s">
        <v>158</v>
      </c>
      <c r="L39" s="4" t="s">
        <v>501</v>
      </c>
      <c r="M39" s="4"/>
      <c r="N39" s="4"/>
      <c r="O39" s="4"/>
      <c r="P39" s="4"/>
      <c r="Q39" s="4"/>
      <c r="R39" s="4" t="s">
        <v>174</v>
      </c>
      <c r="S39" s="4" t="s">
        <v>278</v>
      </c>
      <c r="T39" s="4" t="s">
        <v>502</v>
      </c>
      <c r="U39" s="4" t="s">
        <v>503</v>
      </c>
      <c r="V39" s="4"/>
      <c r="W39" s="4"/>
      <c r="X39" s="4"/>
      <c r="Y39" s="4"/>
      <c r="Z39" s="4" t="s">
        <v>504</v>
      </c>
      <c r="AA39" s="4" t="s">
        <v>37</v>
      </c>
    </row>
    <row r="40" spans="1:27" ht="330" x14ac:dyDescent="0.3">
      <c r="A40" s="4" t="s">
        <v>149</v>
      </c>
      <c r="B40" s="4" t="s">
        <v>505</v>
      </c>
      <c r="C40" s="4" t="s">
        <v>151</v>
      </c>
      <c r="D40" s="4" t="s">
        <v>506</v>
      </c>
      <c r="E40" s="4" t="s">
        <v>507</v>
      </c>
      <c r="F40" s="4" t="s">
        <v>336</v>
      </c>
      <c r="G40" s="4" t="s">
        <v>296</v>
      </c>
      <c r="H40" s="4" t="s">
        <v>316</v>
      </c>
      <c r="I40" s="4" t="s">
        <v>370</v>
      </c>
      <c r="J40" s="4" t="s">
        <v>508</v>
      </c>
      <c r="K40" s="4" t="s">
        <v>158</v>
      </c>
      <c r="L40" s="4" t="s">
        <v>221</v>
      </c>
      <c r="M40" s="4"/>
      <c r="N40" s="4"/>
      <c r="O40" s="4"/>
      <c r="P40" s="4"/>
      <c r="Q40" s="4"/>
      <c r="R40" s="4" t="s">
        <v>189</v>
      </c>
      <c r="S40" s="4"/>
      <c r="T40" s="4" t="s">
        <v>509</v>
      </c>
      <c r="U40" s="4" t="s">
        <v>510</v>
      </c>
      <c r="V40" s="4"/>
      <c r="W40" s="4"/>
      <c r="X40" s="4"/>
      <c r="Y40" s="4" t="s">
        <v>511</v>
      </c>
      <c r="Z40" s="4" t="s">
        <v>512</v>
      </c>
      <c r="AA40" s="4" t="s">
        <v>38</v>
      </c>
    </row>
    <row r="41" spans="1:27" ht="247.5" x14ac:dyDescent="0.3">
      <c r="A41" s="4" t="s">
        <v>149</v>
      </c>
      <c r="B41" s="4" t="s">
        <v>513</v>
      </c>
      <c r="C41" s="4" t="s">
        <v>151</v>
      </c>
      <c r="D41" s="4" t="s">
        <v>514</v>
      </c>
      <c r="E41" s="4" t="s">
        <v>515</v>
      </c>
      <c r="F41" s="4" t="s">
        <v>244</v>
      </c>
      <c r="G41" s="4" t="s">
        <v>155</v>
      </c>
      <c r="H41" s="4" t="s">
        <v>185</v>
      </c>
      <c r="I41" s="4" t="s">
        <v>516</v>
      </c>
      <c r="J41" s="4"/>
      <c r="K41" s="4" t="s">
        <v>158</v>
      </c>
      <c r="L41" s="4" t="s">
        <v>517</v>
      </c>
      <c r="M41" s="4"/>
      <c r="N41" s="4"/>
      <c r="O41" s="4"/>
      <c r="P41" s="4"/>
      <c r="Q41" s="4" t="s">
        <v>518</v>
      </c>
      <c r="R41" s="4" t="s">
        <v>189</v>
      </c>
      <c r="S41" s="4"/>
      <c r="T41" s="4"/>
      <c r="U41" s="4" t="s">
        <v>519</v>
      </c>
      <c r="V41" s="4"/>
      <c r="W41" s="4"/>
      <c r="X41" s="4"/>
      <c r="Y41" s="4" t="s">
        <v>520</v>
      </c>
      <c r="Z41" s="4" t="s">
        <v>521</v>
      </c>
      <c r="AA41" s="4" t="s">
        <v>39</v>
      </c>
    </row>
    <row r="42" spans="1:27" ht="231" x14ac:dyDescent="0.3">
      <c r="A42" s="4" t="s">
        <v>149</v>
      </c>
      <c r="B42" s="4" t="s">
        <v>522</v>
      </c>
      <c r="C42" s="4" t="s">
        <v>151</v>
      </c>
      <c r="D42" s="4" t="s">
        <v>523</v>
      </c>
      <c r="E42" s="4" t="s">
        <v>524</v>
      </c>
      <c r="F42" s="4" t="s">
        <v>244</v>
      </c>
      <c r="G42" s="4" t="s">
        <v>155</v>
      </c>
      <c r="H42" s="4" t="s">
        <v>525</v>
      </c>
      <c r="I42" s="4" t="s">
        <v>220</v>
      </c>
      <c r="J42" s="4" t="s">
        <v>508</v>
      </c>
      <c r="K42" s="4" t="s">
        <v>158</v>
      </c>
      <c r="L42" s="4" t="s">
        <v>526</v>
      </c>
      <c r="M42" s="4"/>
      <c r="N42" s="4"/>
      <c r="O42" s="4"/>
      <c r="P42" s="4"/>
      <c r="Q42" s="4" t="s">
        <v>518</v>
      </c>
      <c r="R42" s="4" t="s">
        <v>174</v>
      </c>
      <c r="S42" s="4"/>
      <c r="T42" s="4"/>
      <c r="U42" s="4" t="s">
        <v>527</v>
      </c>
      <c r="V42" s="4" t="s">
        <v>363</v>
      </c>
      <c r="W42" s="4" t="s">
        <v>528</v>
      </c>
      <c r="X42" s="4"/>
      <c r="Y42" s="4" t="s">
        <v>529</v>
      </c>
      <c r="Z42" s="4" t="s">
        <v>530</v>
      </c>
      <c r="AA42" s="4" t="s">
        <v>40</v>
      </c>
    </row>
    <row r="43" spans="1:27" ht="297" x14ac:dyDescent="0.3">
      <c r="A43" s="4" t="s">
        <v>149</v>
      </c>
      <c r="B43" s="4" t="s">
        <v>531</v>
      </c>
      <c r="C43" s="4" t="s">
        <v>151</v>
      </c>
      <c r="D43" s="4" t="s">
        <v>532</v>
      </c>
      <c r="E43" s="4" t="s">
        <v>533</v>
      </c>
      <c r="F43" s="4" t="s">
        <v>336</v>
      </c>
      <c r="G43" s="4" t="s">
        <v>155</v>
      </c>
      <c r="H43" s="4" t="s">
        <v>534</v>
      </c>
      <c r="I43" s="4" t="s">
        <v>535</v>
      </c>
      <c r="J43" s="4" t="s">
        <v>508</v>
      </c>
      <c r="K43" s="4" t="s">
        <v>158</v>
      </c>
      <c r="L43" s="4" t="s">
        <v>536</v>
      </c>
      <c r="M43" s="4"/>
      <c r="N43" s="4"/>
      <c r="O43" s="4"/>
      <c r="P43" s="4"/>
      <c r="Q43" s="4" t="s">
        <v>537</v>
      </c>
      <c r="R43" s="4"/>
      <c r="S43" s="4"/>
      <c r="T43" s="4"/>
      <c r="U43" s="4"/>
      <c r="V43" s="4" t="s">
        <v>538</v>
      </c>
      <c r="W43" s="4"/>
      <c r="X43" s="4"/>
      <c r="Y43" s="4" t="s">
        <v>539</v>
      </c>
      <c r="Z43" s="4" t="s">
        <v>540</v>
      </c>
      <c r="AA43" s="4" t="s">
        <v>41</v>
      </c>
    </row>
    <row r="44" spans="1:27" ht="214.5" x14ac:dyDescent="0.3">
      <c r="A44" s="4" t="s">
        <v>149</v>
      </c>
      <c r="B44" s="4" t="s">
        <v>541</v>
      </c>
      <c r="C44" s="4" t="s">
        <v>151</v>
      </c>
      <c r="D44" s="4" t="s">
        <v>542</v>
      </c>
      <c r="E44" s="4" t="s">
        <v>543</v>
      </c>
      <c r="F44" s="4" t="s">
        <v>154</v>
      </c>
      <c r="G44" s="4" t="s">
        <v>155</v>
      </c>
      <c r="H44" s="4" t="s">
        <v>378</v>
      </c>
      <c r="I44" s="4" t="s">
        <v>220</v>
      </c>
      <c r="J44" s="4"/>
      <c r="K44" s="4" t="s">
        <v>158</v>
      </c>
      <c r="L44" s="4" t="s">
        <v>517</v>
      </c>
      <c r="M44" s="4"/>
      <c r="N44" s="4"/>
      <c r="O44" s="4"/>
      <c r="P44" s="4"/>
      <c r="Q44" s="4" t="s">
        <v>518</v>
      </c>
      <c r="R44" s="4" t="s">
        <v>189</v>
      </c>
      <c r="S44" s="4"/>
      <c r="T44" s="4"/>
      <c r="U44" s="4" t="s">
        <v>527</v>
      </c>
      <c r="V44" s="4"/>
      <c r="W44" s="4"/>
      <c r="X44" s="4"/>
      <c r="Y44" s="4" t="s">
        <v>544</v>
      </c>
      <c r="Z44" s="4" t="s">
        <v>545</v>
      </c>
      <c r="AA44" s="4" t="s">
        <v>42</v>
      </c>
    </row>
    <row r="45" spans="1:27" ht="280.5" x14ac:dyDescent="0.3">
      <c r="A45" s="4" t="s">
        <v>149</v>
      </c>
      <c r="B45" s="4" t="s">
        <v>546</v>
      </c>
      <c r="C45" s="4" t="s">
        <v>151</v>
      </c>
      <c r="D45" s="4" t="s">
        <v>547</v>
      </c>
      <c r="E45" s="4" t="s">
        <v>548</v>
      </c>
      <c r="F45" s="4" t="s">
        <v>396</v>
      </c>
      <c r="G45" s="4" t="s">
        <v>155</v>
      </c>
      <c r="H45" s="4" t="s">
        <v>298</v>
      </c>
      <c r="I45" s="4" t="s">
        <v>298</v>
      </c>
      <c r="J45" s="4"/>
      <c r="K45" s="4" t="s">
        <v>158</v>
      </c>
      <c r="L45" s="4" t="s">
        <v>549</v>
      </c>
      <c r="M45" s="4"/>
      <c r="N45" s="4"/>
      <c r="O45" s="4"/>
      <c r="P45" s="4"/>
      <c r="Q45" s="4" t="s">
        <v>188</v>
      </c>
      <c r="R45" s="4" t="s">
        <v>174</v>
      </c>
      <c r="S45" s="4"/>
      <c r="T45" s="4"/>
      <c r="U45" s="4" t="s">
        <v>550</v>
      </c>
      <c r="V45" s="4"/>
      <c r="W45" s="4"/>
      <c r="X45" s="4"/>
      <c r="Y45" s="4" t="s">
        <v>544</v>
      </c>
      <c r="Z45" s="4" t="s">
        <v>551</v>
      </c>
      <c r="AA45" s="4" t="s">
        <v>43</v>
      </c>
    </row>
    <row r="46" spans="1:27" ht="231" x14ac:dyDescent="0.3">
      <c r="A46" s="4" t="s">
        <v>149</v>
      </c>
      <c r="B46" s="4" t="s">
        <v>552</v>
      </c>
      <c r="C46" s="4" t="s">
        <v>151</v>
      </c>
      <c r="D46" s="4" t="s">
        <v>553</v>
      </c>
      <c r="E46" s="4" t="s">
        <v>554</v>
      </c>
      <c r="F46" s="4" t="s">
        <v>154</v>
      </c>
      <c r="G46" s="4" t="s">
        <v>155</v>
      </c>
      <c r="H46" s="4" t="s">
        <v>525</v>
      </c>
      <c r="I46" s="4" t="s">
        <v>220</v>
      </c>
      <c r="J46" s="4" t="s">
        <v>324</v>
      </c>
      <c r="K46" s="4" t="s">
        <v>158</v>
      </c>
      <c r="L46" s="4" t="s">
        <v>555</v>
      </c>
      <c r="M46" s="4"/>
      <c r="N46" s="4"/>
      <c r="O46" s="4"/>
      <c r="P46" s="4"/>
      <c r="Q46" s="4" t="s">
        <v>556</v>
      </c>
      <c r="R46" s="4"/>
      <c r="S46" s="4"/>
      <c r="T46" s="4"/>
      <c r="U46" s="4" t="s">
        <v>557</v>
      </c>
      <c r="V46" s="4" t="s">
        <v>558</v>
      </c>
      <c r="W46" s="4" t="s">
        <v>559</v>
      </c>
      <c r="X46" s="4"/>
      <c r="Y46" s="4" t="s">
        <v>560</v>
      </c>
      <c r="Z46" s="4" t="s">
        <v>561</v>
      </c>
      <c r="AA46" s="4" t="s">
        <v>562</v>
      </c>
    </row>
    <row r="47" spans="1:27" ht="280.5" x14ac:dyDescent="0.3">
      <c r="A47" s="4" t="s">
        <v>149</v>
      </c>
      <c r="B47" s="4" t="s">
        <v>563</v>
      </c>
      <c r="C47" s="4" t="s">
        <v>151</v>
      </c>
      <c r="D47" s="4" t="s">
        <v>564</v>
      </c>
      <c r="E47" s="4" t="s">
        <v>565</v>
      </c>
      <c r="F47" s="4" t="s">
        <v>336</v>
      </c>
      <c r="G47" s="4" t="s">
        <v>155</v>
      </c>
      <c r="H47" s="4" t="s">
        <v>378</v>
      </c>
      <c r="I47" s="4" t="s">
        <v>220</v>
      </c>
      <c r="J47" s="4"/>
      <c r="K47" s="4" t="s">
        <v>158</v>
      </c>
      <c r="L47" s="4" t="s">
        <v>566</v>
      </c>
      <c r="M47" s="4"/>
      <c r="N47" s="4"/>
      <c r="O47" s="4"/>
      <c r="P47" s="4"/>
      <c r="Q47" s="4" t="s">
        <v>556</v>
      </c>
      <c r="R47" s="4" t="s">
        <v>212</v>
      </c>
      <c r="S47" s="4"/>
      <c r="T47" s="4"/>
      <c r="U47" s="4" t="s">
        <v>567</v>
      </c>
      <c r="V47" s="4"/>
      <c r="W47" s="4"/>
      <c r="X47" s="4"/>
      <c r="Y47" s="4" t="s">
        <v>568</v>
      </c>
      <c r="Z47" s="4" t="s">
        <v>569</v>
      </c>
      <c r="AA47" s="4" t="s">
        <v>45</v>
      </c>
    </row>
    <row r="48" spans="1:27" ht="280.5" x14ac:dyDescent="0.3">
      <c r="A48" s="4" t="s">
        <v>149</v>
      </c>
      <c r="B48" s="4" t="s">
        <v>570</v>
      </c>
      <c r="C48" s="4" t="s">
        <v>151</v>
      </c>
      <c r="D48" s="4" t="s">
        <v>571</v>
      </c>
      <c r="E48" s="4" t="s">
        <v>548</v>
      </c>
      <c r="F48" s="4" t="s">
        <v>396</v>
      </c>
      <c r="G48" s="4" t="s">
        <v>155</v>
      </c>
      <c r="H48" s="4" t="s">
        <v>298</v>
      </c>
      <c r="I48" s="4" t="s">
        <v>298</v>
      </c>
      <c r="J48" s="4" t="s">
        <v>572</v>
      </c>
      <c r="K48" s="4" t="s">
        <v>158</v>
      </c>
      <c r="L48" s="4" t="s">
        <v>573</v>
      </c>
      <c r="M48" s="4"/>
      <c r="N48" s="4"/>
      <c r="O48" s="4"/>
      <c r="P48" s="4"/>
      <c r="Q48" s="4" t="s">
        <v>574</v>
      </c>
      <c r="R48" s="4"/>
      <c r="S48" s="4"/>
      <c r="T48" s="4"/>
      <c r="U48" s="4" t="s">
        <v>575</v>
      </c>
      <c r="V48" s="4"/>
      <c r="W48" s="4" t="s">
        <v>576</v>
      </c>
      <c r="X48" s="4"/>
      <c r="Y48" s="4" t="s">
        <v>577</v>
      </c>
      <c r="Z48" s="4" t="s">
        <v>578</v>
      </c>
      <c r="AA48" s="4" t="s">
        <v>46</v>
      </c>
    </row>
    <row r="49" spans="1:27" ht="330" x14ac:dyDescent="0.3">
      <c r="A49" s="4" t="s">
        <v>149</v>
      </c>
      <c r="B49" s="4" t="s">
        <v>579</v>
      </c>
      <c r="C49" s="4" t="s">
        <v>151</v>
      </c>
      <c r="D49" s="4" t="s">
        <v>580</v>
      </c>
      <c r="E49" s="4" t="s">
        <v>581</v>
      </c>
      <c r="F49" s="4" t="s">
        <v>244</v>
      </c>
      <c r="G49" s="4" t="s">
        <v>155</v>
      </c>
      <c r="H49" s="4" t="s">
        <v>208</v>
      </c>
      <c r="I49" s="4" t="s">
        <v>209</v>
      </c>
      <c r="J49" s="4" t="s">
        <v>172</v>
      </c>
      <c r="K49" s="4" t="s">
        <v>158</v>
      </c>
      <c r="L49" s="4"/>
      <c r="M49" s="4" t="s">
        <v>210</v>
      </c>
      <c r="N49" s="4"/>
      <c r="O49" s="4" t="s">
        <v>211</v>
      </c>
      <c r="P49" s="4" t="s">
        <v>161</v>
      </c>
      <c r="Q49" s="4" t="s">
        <v>162</v>
      </c>
      <c r="R49" s="4" t="s">
        <v>212</v>
      </c>
      <c r="S49" s="4"/>
      <c r="T49" s="4"/>
      <c r="U49" s="4"/>
      <c r="V49" s="4" t="s">
        <v>582</v>
      </c>
      <c r="W49" s="4"/>
      <c r="X49" s="4"/>
      <c r="Y49" s="4" t="s">
        <v>583</v>
      </c>
      <c r="Z49" s="4" t="s">
        <v>584</v>
      </c>
      <c r="AA49" s="4" t="s">
        <v>47</v>
      </c>
    </row>
    <row r="50" spans="1:27" ht="280.5" x14ac:dyDescent="0.3">
      <c r="A50" s="4" t="s">
        <v>149</v>
      </c>
      <c r="B50" s="4" t="s">
        <v>585</v>
      </c>
      <c r="C50" s="4" t="s">
        <v>151</v>
      </c>
      <c r="D50" s="4" t="s">
        <v>586</v>
      </c>
      <c r="E50" s="4" t="s">
        <v>587</v>
      </c>
      <c r="F50" s="4"/>
      <c r="G50" s="4" t="s">
        <v>337</v>
      </c>
      <c r="H50" s="4" t="s">
        <v>525</v>
      </c>
      <c r="I50" s="4" t="s">
        <v>220</v>
      </c>
      <c r="J50" s="4"/>
      <c r="K50" s="4" t="s">
        <v>158</v>
      </c>
      <c r="L50" s="4" t="s">
        <v>379</v>
      </c>
      <c r="M50" s="4"/>
      <c r="N50" s="4"/>
      <c r="O50" s="4"/>
      <c r="P50" s="4"/>
      <c r="Q50" s="4"/>
      <c r="R50" s="4" t="s">
        <v>174</v>
      </c>
      <c r="S50" s="4" t="s">
        <v>300</v>
      </c>
      <c r="T50" s="4" t="s">
        <v>588</v>
      </c>
      <c r="U50" s="4" t="s">
        <v>589</v>
      </c>
      <c r="V50" s="4" t="s">
        <v>590</v>
      </c>
      <c r="W50" s="4"/>
      <c r="X50" s="4"/>
      <c r="Y50" s="4" t="s">
        <v>591</v>
      </c>
      <c r="Z50" s="4" t="s">
        <v>592</v>
      </c>
      <c r="AA50" s="4" t="s">
        <v>48</v>
      </c>
    </row>
    <row r="51" spans="1:27" ht="409.5" x14ac:dyDescent="0.3">
      <c r="A51" s="4" t="s">
        <v>149</v>
      </c>
      <c r="B51" s="4" t="s">
        <v>593</v>
      </c>
      <c r="C51" s="4" t="s">
        <v>151</v>
      </c>
      <c r="D51" s="4" t="s">
        <v>594</v>
      </c>
      <c r="E51" s="4" t="s">
        <v>595</v>
      </c>
      <c r="F51" s="4"/>
      <c r="G51" s="4" t="s">
        <v>337</v>
      </c>
      <c r="H51" s="4" t="s">
        <v>596</v>
      </c>
      <c r="I51" s="4" t="s">
        <v>370</v>
      </c>
      <c r="J51" s="4"/>
      <c r="K51" s="4" t="s">
        <v>158</v>
      </c>
      <c r="L51" s="4" t="s">
        <v>267</v>
      </c>
      <c r="M51" s="4"/>
      <c r="N51" s="4"/>
      <c r="O51" s="4"/>
      <c r="P51" s="4"/>
      <c r="Q51" s="4"/>
      <c r="R51" s="4" t="s">
        <v>174</v>
      </c>
      <c r="S51" s="4"/>
      <c r="T51" s="4" t="s">
        <v>597</v>
      </c>
      <c r="U51" s="4" t="s">
        <v>598</v>
      </c>
      <c r="V51" s="4"/>
      <c r="W51" s="4"/>
      <c r="X51" s="4"/>
      <c r="Y51" s="4" t="s">
        <v>599</v>
      </c>
      <c r="Z51" s="4" t="s">
        <v>600</v>
      </c>
      <c r="AA51" s="4" t="s">
        <v>49</v>
      </c>
    </row>
    <row r="52" spans="1:27" ht="363" x14ac:dyDescent="0.3">
      <c r="A52" s="4" t="s">
        <v>149</v>
      </c>
      <c r="B52" s="4" t="s">
        <v>601</v>
      </c>
      <c r="C52" s="4" t="s">
        <v>151</v>
      </c>
      <c r="D52" s="4" t="s">
        <v>602</v>
      </c>
      <c r="E52" s="4" t="s">
        <v>603</v>
      </c>
      <c r="F52" s="4" t="s">
        <v>244</v>
      </c>
      <c r="G52" s="4" t="s">
        <v>155</v>
      </c>
      <c r="H52" s="4" t="s">
        <v>604</v>
      </c>
      <c r="I52" s="4" t="s">
        <v>605</v>
      </c>
      <c r="J52" s="4"/>
      <c r="K52" s="4" t="s">
        <v>158</v>
      </c>
      <c r="L52" s="4" t="s">
        <v>606</v>
      </c>
      <c r="M52" s="4"/>
      <c r="N52" s="4"/>
      <c r="O52" s="4" t="s">
        <v>309</v>
      </c>
      <c r="P52" s="4" t="s">
        <v>161</v>
      </c>
      <c r="Q52" s="4" t="s">
        <v>309</v>
      </c>
      <c r="R52" s="4" t="s">
        <v>290</v>
      </c>
      <c r="S52" s="4"/>
      <c r="T52" s="4"/>
      <c r="U52" s="4" t="s">
        <v>607</v>
      </c>
      <c r="V52" s="4"/>
      <c r="W52" s="4"/>
      <c r="X52" s="4"/>
      <c r="Y52" s="4" t="s">
        <v>608</v>
      </c>
      <c r="Z52" s="4" t="s">
        <v>609</v>
      </c>
      <c r="AA52" s="4" t="s">
        <v>50</v>
      </c>
    </row>
    <row r="53" spans="1:27" ht="148.5" x14ac:dyDescent="0.3">
      <c r="A53" s="4" t="s">
        <v>149</v>
      </c>
      <c r="B53" s="4" t="s">
        <v>610</v>
      </c>
      <c r="C53" s="4" t="s">
        <v>151</v>
      </c>
      <c r="D53" s="4" t="s">
        <v>611</v>
      </c>
      <c r="E53" s="4" t="s">
        <v>255</v>
      </c>
      <c r="F53" s="4"/>
      <c r="G53" s="4" t="s">
        <v>255</v>
      </c>
      <c r="H53" s="4" t="s">
        <v>256</v>
      </c>
      <c r="I53" s="4" t="s">
        <v>257</v>
      </c>
      <c r="J53" s="4"/>
      <c r="K53" s="4" t="s">
        <v>158</v>
      </c>
      <c r="L53" s="4" t="s">
        <v>612</v>
      </c>
      <c r="M53" s="4"/>
      <c r="N53" s="4"/>
      <c r="O53" s="4"/>
      <c r="P53" s="4"/>
      <c r="Q53" s="4" t="s">
        <v>613</v>
      </c>
      <c r="R53" s="4"/>
      <c r="S53" s="4"/>
      <c r="T53" s="4"/>
      <c r="U53" s="4"/>
      <c r="V53" s="4"/>
      <c r="W53" s="4"/>
      <c r="X53" s="4"/>
      <c r="Y53" s="4" t="s">
        <v>614</v>
      </c>
      <c r="Z53" s="4" t="s">
        <v>615</v>
      </c>
      <c r="AA53" s="4" t="s">
        <v>616</v>
      </c>
    </row>
    <row r="54" spans="1:27" ht="297" x14ac:dyDescent="0.3">
      <c r="A54" s="4" t="s">
        <v>149</v>
      </c>
      <c r="B54" s="4" t="s">
        <v>617</v>
      </c>
      <c r="C54" s="4" t="s">
        <v>151</v>
      </c>
      <c r="D54" s="4" t="s">
        <v>618</v>
      </c>
      <c r="E54" s="4" t="s">
        <v>360</v>
      </c>
      <c r="F54" s="4" t="s">
        <v>154</v>
      </c>
      <c r="G54" s="4" t="s">
        <v>155</v>
      </c>
      <c r="H54" s="4" t="s">
        <v>236</v>
      </c>
      <c r="I54" s="4" t="s">
        <v>196</v>
      </c>
      <c r="J54" s="4"/>
      <c r="K54" s="4" t="s">
        <v>158</v>
      </c>
      <c r="L54" s="4"/>
      <c r="M54" s="4"/>
      <c r="N54" s="4"/>
      <c r="O54" s="4" t="s">
        <v>537</v>
      </c>
      <c r="P54" s="4" t="s">
        <v>161</v>
      </c>
      <c r="Q54" s="4" t="s">
        <v>162</v>
      </c>
      <c r="R54" s="4" t="s">
        <v>212</v>
      </c>
      <c r="S54" s="4"/>
      <c r="T54" s="4"/>
      <c r="U54" s="4"/>
      <c r="V54" s="4"/>
      <c r="W54" s="4"/>
      <c r="X54" s="4"/>
      <c r="Y54" s="4" t="s">
        <v>619</v>
      </c>
      <c r="Z54" s="4" t="s">
        <v>620</v>
      </c>
      <c r="AA54" s="4" t="s">
        <v>52</v>
      </c>
    </row>
    <row r="55" spans="1:27" ht="280.5" x14ac:dyDescent="0.3">
      <c r="A55" s="4" t="s">
        <v>149</v>
      </c>
      <c r="B55" s="4" t="s">
        <v>621</v>
      </c>
      <c r="C55" s="4" t="s">
        <v>151</v>
      </c>
      <c r="D55" s="4" t="s">
        <v>622</v>
      </c>
      <c r="E55" s="4" t="s">
        <v>623</v>
      </c>
      <c r="F55" s="4" t="s">
        <v>184</v>
      </c>
      <c r="G55" s="4" t="s">
        <v>255</v>
      </c>
      <c r="H55" s="4" t="s">
        <v>256</v>
      </c>
      <c r="I55" s="4" t="s">
        <v>257</v>
      </c>
      <c r="J55" s="4"/>
      <c r="K55" s="4" t="s">
        <v>158</v>
      </c>
      <c r="L55" s="4" t="s">
        <v>258</v>
      </c>
      <c r="M55" s="4"/>
      <c r="N55" s="4"/>
      <c r="O55" s="4" t="s">
        <v>259</v>
      </c>
      <c r="P55" s="4" t="s">
        <v>161</v>
      </c>
      <c r="Q55" s="4" t="s">
        <v>211</v>
      </c>
      <c r="R55" s="4" t="s">
        <v>260</v>
      </c>
      <c r="S55" s="4"/>
      <c r="T55" s="4"/>
      <c r="U55" s="4"/>
      <c r="V55" s="4"/>
      <c r="W55" s="4"/>
      <c r="X55" s="4"/>
      <c r="Y55" s="4" t="s">
        <v>624</v>
      </c>
      <c r="Z55" s="4" t="s">
        <v>625</v>
      </c>
      <c r="AA55" s="4" t="s">
        <v>53</v>
      </c>
    </row>
    <row r="56" spans="1:27" ht="297" x14ac:dyDescent="0.3">
      <c r="A56" s="4" t="s">
        <v>149</v>
      </c>
      <c r="B56" s="4" t="s">
        <v>626</v>
      </c>
      <c r="C56" s="4" t="s">
        <v>151</v>
      </c>
      <c r="D56" s="4" t="s">
        <v>627</v>
      </c>
      <c r="E56" s="4" t="s">
        <v>628</v>
      </c>
      <c r="F56" s="4" t="s">
        <v>396</v>
      </c>
      <c r="G56" s="4" t="s">
        <v>155</v>
      </c>
      <c r="H56" s="4" t="s">
        <v>629</v>
      </c>
      <c r="I56" s="4" t="s">
        <v>171</v>
      </c>
      <c r="J56" s="4" t="s">
        <v>439</v>
      </c>
      <c r="K56" s="4" t="s">
        <v>158</v>
      </c>
      <c r="L56" s="4" t="s">
        <v>630</v>
      </c>
      <c r="M56" s="4"/>
      <c r="N56" s="4"/>
      <c r="O56" s="4"/>
      <c r="P56" s="4"/>
      <c r="Q56" s="4" t="s">
        <v>556</v>
      </c>
      <c r="R56" s="4" t="s">
        <v>174</v>
      </c>
      <c r="S56" s="4"/>
      <c r="T56" s="4"/>
      <c r="U56" s="4" t="s">
        <v>631</v>
      </c>
      <c r="V56" s="4" t="s">
        <v>632</v>
      </c>
      <c r="W56" s="4"/>
      <c r="X56" s="4"/>
      <c r="Y56" s="4" t="s">
        <v>633</v>
      </c>
      <c r="Z56" s="4" t="s">
        <v>634</v>
      </c>
      <c r="AA56" s="4" t="s">
        <v>54</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68"/>
  <sheetViews>
    <sheetView workbookViewId="0"/>
  </sheetViews>
  <sheetFormatPr defaultRowHeight="16.5" x14ac:dyDescent="0.3"/>
  <cols>
    <col min="1" max="3" width="10" customWidth="1"/>
    <col min="4" max="4" width="26" customWidth="1"/>
    <col min="5" max="5" width="32" customWidth="1"/>
    <col min="6" max="7" width="18" customWidth="1"/>
    <col min="8" max="8" width="28" customWidth="1"/>
    <col min="9" max="9" width="24" customWidth="1"/>
    <col min="10" max="10" width="20" customWidth="1"/>
    <col min="11" max="11" width="12" customWidth="1"/>
    <col min="12" max="13" width="16" customWidth="1"/>
    <col min="14" max="14" width="22" customWidth="1"/>
    <col min="15" max="15" width="18" customWidth="1"/>
    <col min="16" max="18" width="14" customWidth="1"/>
    <col min="19" max="19" width="18" customWidth="1"/>
    <col min="20" max="20" width="20" customWidth="1"/>
    <col min="21" max="21" width="24" customWidth="1"/>
    <col min="22" max="22" width="14" customWidth="1"/>
    <col min="23" max="23" width="18" customWidth="1"/>
    <col min="24" max="24" width="10" customWidth="1"/>
    <col min="25" max="25" width="45" customWidth="1"/>
    <col min="26" max="26" width="55" customWidth="1"/>
    <col min="27" max="27" width="65" customWidth="1"/>
  </cols>
  <sheetData>
    <row r="1" spans="1:27" ht="30" customHeight="1" x14ac:dyDescent="0.3">
      <c r="A1" s="3" t="s">
        <v>122</v>
      </c>
      <c r="B1" s="3" t="s">
        <v>123</v>
      </c>
      <c r="C1" s="3" t="s">
        <v>124</v>
      </c>
      <c r="D1" s="3" t="s">
        <v>125</v>
      </c>
      <c r="E1" s="3" t="s">
        <v>126</v>
      </c>
      <c r="F1" s="3" t="s">
        <v>127</v>
      </c>
      <c r="G1" s="3" t="s">
        <v>128</v>
      </c>
      <c r="H1" s="3" t="s">
        <v>129</v>
      </c>
      <c r="I1" s="3" t="s">
        <v>130</v>
      </c>
      <c r="J1" s="3" t="s">
        <v>131</v>
      </c>
      <c r="K1" s="3" t="s">
        <v>132</v>
      </c>
      <c r="L1" s="3" t="s">
        <v>133</v>
      </c>
      <c r="M1" s="3" t="s">
        <v>134</v>
      </c>
      <c r="N1" s="3" t="s">
        <v>135</v>
      </c>
      <c r="O1" s="3" t="s">
        <v>136</v>
      </c>
      <c r="P1" s="3" t="s">
        <v>137</v>
      </c>
      <c r="Q1" s="3" t="s">
        <v>138</v>
      </c>
      <c r="R1" s="3" t="s">
        <v>139</v>
      </c>
      <c r="S1" s="3" t="s">
        <v>140</v>
      </c>
      <c r="T1" s="3" t="s">
        <v>141</v>
      </c>
      <c r="U1" s="3" t="s">
        <v>142</v>
      </c>
      <c r="V1" s="3" t="s">
        <v>143</v>
      </c>
      <c r="W1" s="3" t="s">
        <v>144</v>
      </c>
      <c r="X1" s="3" t="s">
        <v>145</v>
      </c>
      <c r="Y1" s="3" t="s">
        <v>146</v>
      </c>
      <c r="Z1" s="3" t="s">
        <v>147</v>
      </c>
      <c r="AA1" s="3" t="s">
        <v>148</v>
      </c>
    </row>
    <row r="2" spans="1:27" ht="132" x14ac:dyDescent="0.3">
      <c r="A2" s="4" t="s">
        <v>635</v>
      </c>
      <c r="B2" s="4" t="s">
        <v>636</v>
      </c>
      <c r="C2" s="4" t="s">
        <v>637</v>
      </c>
      <c r="D2" s="4" t="s">
        <v>638</v>
      </c>
      <c r="E2" s="4" t="s">
        <v>639</v>
      </c>
      <c r="F2" s="4" t="s">
        <v>640</v>
      </c>
      <c r="G2" s="4"/>
      <c r="H2" s="4"/>
      <c r="I2" s="4" t="s">
        <v>641</v>
      </c>
      <c r="J2" s="4"/>
      <c r="K2" s="4" t="s">
        <v>158</v>
      </c>
      <c r="L2" s="4"/>
      <c r="M2" s="4"/>
      <c r="N2" s="4" t="s">
        <v>519</v>
      </c>
      <c r="O2" s="4"/>
      <c r="P2" s="4"/>
      <c r="Q2" s="4"/>
      <c r="R2" s="4" t="s">
        <v>642</v>
      </c>
      <c r="S2" s="4"/>
      <c r="T2" s="4"/>
      <c r="U2" s="4"/>
      <c r="V2" s="4"/>
      <c r="W2" s="4"/>
      <c r="X2" s="4" t="s">
        <v>643</v>
      </c>
      <c r="Y2" s="4" t="s">
        <v>644</v>
      </c>
      <c r="Z2" s="4" t="s">
        <v>645</v>
      </c>
      <c r="AA2" s="4" t="s">
        <v>55</v>
      </c>
    </row>
    <row r="3" spans="1:27" ht="165" x14ac:dyDescent="0.3">
      <c r="A3" s="4" t="s">
        <v>635</v>
      </c>
      <c r="B3" s="4" t="s">
        <v>646</v>
      </c>
      <c r="C3" s="4" t="s">
        <v>637</v>
      </c>
      <c r="D3" s="4" t="s">
        <v>647</v>
      </c>
      <c r="E3" s="4" t="s">
        <v>648</v>
      </c>
      <c r="F3" s="4" t="s">
        <v>184</v>
      </c>
      <c r="G3" s="4"/>
      <c r="H3" s="4"/>
      <c r="I3" s="4" t="s">
        <v>641</v>
      </c>
      <c r="J3" s="4"/>
      <c r="K3" s="4" t="s">
        <v>158</v>
      </c>
      <c r="L3" s="4"/>
      <c r="M3" s="4"/>
      <c r="N3" s="4" t="s">
        <v>649</v>
      </c>
      <c r="O3" s="4"/>
      <c r="P3" s="4"/>
      <c r="Q3" s="4"/>
      <c r="R3" s="4" t="s">
        <v>454</v>
      </c>
      <c r="S3" s="4"/>
      <c r="T3" s="4"/>
      <c r="U3" s="4"/>
      <c r="V3" s="4"/>
      <c r="W3" s="4"/>
      <c r="X3" s="4" t="s">
        <v>650</v>
      </c>
      <c r="Y3" s="4" t="s">
        <v>651</v>
      </c>
      <c r="Z3" s="4" t="s">
        <v>652</v>
      </c>
      <c r="AA3" s="4" t="s">
        <v>56</v>
      </c>
    </row>
    <row r="4" spans="1:27" ht="132" x14ac:dyDescent="0.3">
      <c r="A4" s="4" t="s">
        <v>635</v>
      </c>
      <c r="B4" s="4" t="s">
        <v>653</v>
      </c>
      <c r="C4" s="4" t="s">
        <v>637</v>
      </c>
      <c r="D4" s="4" t="s">
        <v>654</v>
      </c>
      <c r="E4" s="4" t="s">
        <v>655</v>
      </c>
      <c r="F4" s="4" t="s">
        <v>154</v>
      </c>
      <c r="G4" s="4"/>
      <c r="H4" s="4"/>
      <c r="I4" s="4" t="s">
        <v>641</v>
      </c>
      <c r="J4" s="4"/>
      <c r="K4" s="4" t="s">
        <v>158</v>
      </c>
      <c r="L4" s="4"/>
      <c r="M4" s="4"/>
      <c r="N4" s="4" t="s">
        <v>656</v>
      </c>
      <c r="O4" s="4"/>
      <c r="P4" s="4"/>
      <c r="Q4" s="4"/>
      <c r="R4" s="4" t="s">
        <v>657</v>
      </c>
      <c r="S4" s="4"/>
      <c r="T4" s="4"/>
      <c r="U4" s="4"/>
      <c r="V4" s="4"/>
      <c r="W4" s="4"/>
      <c r="X4" s="4" t="s">
        <v>658</v>
      </c>
      <c r="Y4" s="4" t="s">
        <v>659</v>
      </c>
      <c r="Z4" s="4" t="s">
        <v>660</v>
      </c>
      <c r="AA4" s="4" t="s">
        <v>57</v>
      </c>
    </row>
    <row r="5" spans="1:27" ht="132" x14ac:dyDescent="0.3">
      <c r="A5" s="4" t="s">
        <v>635</v>
      </c>
      <c r="B5" s="4" t="s">
        <v>661</v>
      </c>
      <c r="C5" s="4" t="s">
        <v>637</v>
      </c>
      <c r="D5" s="4" t="s">
        <v>662</v>
      </c>
      <c r="E5" s="4" t="s">
        <v>663</v>
      </c>
      <c r="F5" s="4" t="s">
        <v>184</v>
      </c>
      <c r="G5" s="4" t="s">
        <v>337</v>
      </c>
      <c r="H5" s="4"/>
      <c r="I5" s="4" t="s">
        <v>641</v>
      </c>
      <c r="J5" s="4" t="s">
        <v>449</v>
      </c>
      <c r="K5" s="4" t="s">
        <v>158</v>
      </c>
      <c r="L5" s="4"/>
      <c r="M5" s="4"/>
      <c r="N5" s="4" t="s">
        <v>519</v>
      </c>
      <c r="O5" s="4"/>
      <c r="P5" s="4"/>
      <c r="Q5" s="4"/>
      <c r="R5" s="4"/>
      <c r="S5" s="4"/>
      <c r="T5" s="4"/>
      <c r="U5" s="4"/>
      <c r="V5" s="4"/>
      <c r="W5" s="4"/>
      <c r="X5" s="4" t="s">
        <v>664</v>
      </c>
      <c r="Y5" s="4" t="s">
        <v>665</v>
      </c>
      <c r="Z5" s="4" t="s">
        <v>666</v>
      </c>
      <c r="AA5" s="4" t="s">
        <v>58</v>
      </c>
    </row>
    <row r="6" spans="1:27" ht="148.5" x14ac:dyDescent="0.3">
      <c r="A6" s="4" t="s">
        <v>635</v>
      </c>
      <c r="B6" s="4" t="s">
        <v>667</v>
      </c>
      <c r="C6" s="4" t="s">
        <v>637</v>
      </c>
      <c r="D6" s="4" t="s">
        <v>668</v>
      </c>
      <c r="E6" s="4" t="s">
        <v>669</v>
      </c>
      <c r="F6" s="4" t="s">
        <v>670</v>
      </c>
      <c r="G6" s="4"/>
      <c r="H6" s="4"/>
      <c r="I6" s="4" t="s">
        <v>641</v>
      </c>
      <c r="J6" s="4"/>
      <c r="K6" s="4" t="s">
        <v>158</v>
      </c>
      <c r="L6" s="4"/>
      <c r="M6" s="4"/>
      <c r="N6" s="4" t="s">
        <v>519</v>
      </c>
      <c r="O6" s="4"/>
      <c r="P6" s="4"/>
      <c r="Q6" s="4"/>
      <c r="R6" s="4" t="s">
        <v>671</v>
      </c>
      <c r="S6" s="4"/>
      <c r="T6" s="4"/>
      <c r="U6" s="4"/>
      <c r="V6" s="4"/>
      <c r="W6" s="4"/>
      <c r="X6" s="4" t="s">
        <v>672</v>
      </c>
      <c r="Y6" s="4" t="s">
        <v>644</v>
      </c>
      <c r="Z6" s="4" t="s">
        <v>673</v>
      </c>
      <c r="AA6" s="4" t="s">
        <v>59</v>
      </c>
    </row>
    <row r="7" spans="1:27" ht="181.5" x14ac:dyDescent="0.3">
      <c r="A7" s="4" t="s">
        <v>635</v>
      </c>
      <c r="B7" s="4" t="s">
        <v>674</v>
      </c>
      <c r="C7" s="4" t="s">
        <v>637</v>
      </c>
      <c r="D7" s="4" t="s">
        <v>675</v>
      </c>
      <c r="E7" s="4" t="s">
        <v>676</v>
      </c>
      <c r="F7" s="4"/>
      <c r="G7" s="4"/>
      <c r="H7" s="4"/>
      <c r="I7" s="4" t="s">
        <v>387</v>
      </c>
      <c r="J7" s="4"/>
      <c r="K7" s="4" t="s">
        <v>158</v>
      </c>
      <c r="L7" s="4"/>
      <c r="M7" s="4"/>
      <c r="N7" s="4" t="s">
        <v>649</v>
      </c>
      <c r="O7" s="4"/>
      <c r="P7" s="4"/>
      <c r="Q7" s="4"/>
      <c r="R7" s="4" t="s">
        <v>671</v>
      </c>
      <c r="S7" s="4"/>
      <c r="T7" s="4"/>
      <c r="U7" s="4"/>
      <c r="V7" s="4"/>
      <c r="W7" s="4"/>
      <c r="X7" s="4" t="s">
        <v>677</v>
      </c>
      <c r="Y7" s="4" t="s">
        <v>678</v>
      </c>
      <c r="Z7" s="4" t="s">
        <v>679</v>
      </c>
      <c r="AA7" s="4" t="s">
        <v>60</v>
      </c>
    </row>
    <row r="8" spans="1:27" ht="132" x14ac:dyDescent="0.3">
      <c r="A8" s="4" t="s">
        <v>635</v>
      </c>
      <c r="B8" s="4" t="s">
        <v>680</v>
      </c>
      <c r="C8" s="4" t="s">
        <v>637</v>
      </c>
      <c r="D8" s="4" t="s">
        <v>681</v>
      </c>
      <c r="E8" s="4" t="s">
        <v>682</v>
      </c>
      <c r="F8" s="4"/>
      <c r="G8" s="4" t="s">
        <v>337</v>
      </c>
      <c r="H8" s="4"/>
      <c r="I8" s="4" t="s">
        <v>641</v>
      </c>
      <c r="J8" s="4"/>
      <c r="K8" s="4" t="s">
        <v>158</v>
      </c>
      <c r="L8" s="4"/>
      <c r="M8" s="4"/>
      <c r="N8" s="4" t="s">
        <v>656</v>
      </c>
      <c r="O8" s="4"/>
      <c r="P8" s="4"/>
      <c r="Q8" s="4"/>
      <c r="R8" s="4" t="s">
        <v>671</v>
      </c>
      <c r="S8" s="4"/>
      <c r="T8" s="4"/>
      <c r="U8" s="4"/>
      <c r="V8" s="4"/>
      <c r="W8" s="4"/>
      <c r="X8" s="4" t="s">
        <v>683</v>
      </c>
      <c r="Y8" s="4" t="s">
        <v>665</v>
      </c>
      <c r="Z8" s="4" t="s">
        <v>684</v>
      </c>
      <c r="AA8" s="4" t="s">
        <v>685</v>
      </c>
    </row>
    <row r="9" spans="1:27" ht="181.5" x14ac:dyDescent="0.3">
      <c r="A9" s="4" t="s">
        <v>635</v>
      </c>
      <c r="B9" s="4" t="s">
        <v>686</v>
      </c>
      <c r="C9" s="4" t="s">
        <v>637</v>
      </c>
      <c r="D9" s="4" t="s">
        <v>687</v>
      </c>
      <c r="E9" s="4" t="s">
        <v>688</v>
      </c>
      <c r="F9" s="4"/>
      <c r="G9" s="4" t="s">
        <v>169</v>
      </c>
      <c r="H9" s="4" t="s">
        <v>689</v>
      </c>
      <c r="I9" s="4" t="s">
        <v>641</v>
      </c>
      <c r="J9" s="4" t="s">
        <v>197</v>
      </c>
      <c r="K9" s="4" t="s">
        <v>158</v>
      </c>
      <c r="L9" s="4"/>
      <c r="M9" s="4"/>
      <c r="N9" s="4" t="s">
        <v>519</v>
      </c>
      <c r="O9" s="4"/>
      <c r="P9" s="4"/>
      <c r="Q9" s="4"/>
      <c r="R9" s="4" t="s">
        <v>671</v>
      </c>
      <c r="S9" s="4"/>
      <c r="T9" s="4"/>
      <c r="U9" s="4"/>
      <c r="V9" s="4"/>
      <c r="W9" s="4"/>
      <c r="X9" s="4" t="s">
        <v>690</v>
      </c>
      <c r="Y9" s="4" t="s">
        <v>691</v>
      </c>
      <c r="Z9" s="4" t="s">
        <v>692</v>
      </c>
      <c r="AA9" s="4" t="s">
        <v>62</v>
      </c>
    </row>
    <row r="10" spans="1:27" ht="148.5" x14ac:dyDescent="0.3">
      <c r="A10" s="4" t="s">
        <v>635</v>
      </c>
      <c r="B10" s="4" t="s">
        <v>693</v>
      </c>
      <c r="C10" s="4" t="s">
        <v>637</v>
      </c>
      <c r="D10" s="4" t="s">
        <v>694</v>
      </c>
      <c r="E10" s="4" t="s">
        <v>655</v>
      </c>
      <c r="F10" s="4" t="s">
        <v>154</v>
      </c>
      <c r="G10" s="4"/>
      <c r="H10" s="4"/>
      <c r="I10" s="4" t="s">
        <v>641</v>
      </c>
      <c r="J10" s="4"/>
      <c r="K10" s="4" t="s">
        <v>158</v>
      </c>
      <c r="L10" s="4"/>
      <c r="M10" s="4"/>
      <c r="N10" s="4" t="s">
        <v>656</v>
      </c>
      <c r="O10" s="4"/>
      <c r="P10" s="4"/>
      <c r="Q10" s="4"/>
      <c r="R10" s="4" t="s">
        <v>657</v>
      </c>
      <c r="S10" s="4"/>
      <c r="T10" s="4"/>
      <c r="U10" s="4"/>
      <c r="V10" s="4"/>
      <c r="W10" s="4"/>
      <c r="X10" s="4" t="s">
        <v>695</v>
      </c>
      <c r="Y10" s="4" t="s">
        <v>696</v>
      </c>
      <c r="Z10" s="4" t="s">
        <v>697</v>
      </c>
      <c r="AA10" s="4" t="s">
        <v>63</v>
      </c>
    </row>
    <row r="11" spans="1:27" ht="148.5" x14ac:dyDescent="0.3">
      <c r="A11" s="4" t="s">
        <v>635</v>
      </c>
      <c r="B11" s="4" t="s">
        <v>698</v>
      </c>
      <c r="C11" s="4" t="s">
        <v>637</v>
      </c>
      <c r="D11" s="4" t="s">
        <v>699</v>
      </c>
      <c r="E11" s="4" t="s">
        <v>676</v>
      </c>
      <c r="F11" s="4"/>
      <c r="G11" s="4"/>
      <c r="H11" s="4"/>
      <c r="I11" s="4" t="s">
        <v>387</v>
      </c>
      <c r="J11" s="4"/>
      <c r="K11" s="4" t="s">
        <v>158</v>
      </c>
      <c r="L11" s="4"/>
      <c r="M11" s="4"/>
      <c r="N11" s="4" t="s">
        <v>656</v>
      </c>
      <c r="O11" s="4"/>
      <c r="P11" s="4"/>
      <c r="Q11" s="4"/>
      <c r="R11" s="4" t="s">
        <v>657</v>
      </c>
      <c r="S11" s="4"/>
      <c r="T11" s="4"/>
      <c r="U11" s="4"/>
      <c r="V11" s="4"/>
      <c r="W11" s="4"/>
      <c r="X11" s="4" t="s">
        <v>700</v>
      </c>
      <c r="Y11" s="4" t="s">
        <v>701</v>
      </c>
      <c r="Z11" s="4" t="s">
        <v>702</v>
      </c>
      <c r="AA11" s="4" t="s">
        <v>64</v>
      </c>
    </row>
    <row r="12" spans="1:27" ht="165" x14ac:dyDescent="0.3">
      <c r="A12" s="4" t="s">
        <v>635</v>
      </c>
      <c r="B12" s="4" t="s">
        <v>703</v>
      </c>
      <c r="C12" s="4" t="s">
        <v>637</v>
      </c>
      <c r="D12" s="4" t="s">
        <v>704</v>
      </c>
      <c r="E12" s="4" t="s">
        <v>663</v>
      </c>
      <c r="F12" s="4" t="s">
        <v>184</v>
      </c>
      <c r="G12" s="4" t="s">
        <v>337</v>
      </c>
      <c r="H12" s="4"/>
      <c r="I12" s="4" t="s">
        <v>641</v>
      </c>
      <c r="J12" s="4" t="s">
        <v>705</v>
      </c>
      <c r="K12" s="4" t="s">
        <v>158</v>
      </c>
      <c r="L12" s="4"/>
      <c r="M12" s="4"/>
      <c r="N12" s="4" t="s">
        <v>656</v>
      </c>
      <c r="O12" s="4"/>
      <c r="P12" s="4"/>
      <c r="Q12" s="4"/>
      <c r="R12" s="4" t="s">
        <v>642</v>
      </c>
      <c r="S12" s="4"/>
      <c r="T12" s="4"/>
      <c r="U12" s="4"/>
      <c r="V12" s="4"/>
      <c r="W12" s="4"/>
      <c r="X12" s="4" t="s">
        <v>706</v>
      </c>
      <c r="Y12" s="4" t="s">
        <v>707</v>
      </c>
      <c r="Z12" s="4" t="s">
        <v>708</v>
      </c>
      <c r="AA12" s="4" t="s">
        <v>65</v>
      </c>
    </row>
    <row r="13" spans="1:27" ht="181.5" x14ac:dyDescent="0.3">
      <c r="A13" s="4" t="s">
        <v>635</v>
      </c>
      <c r="B13" s="4" t="s">
        <v>709</v>
      </c>
      <c r="C13" s="4" t="s">
        <v>637</v>
      </c>
      <c r="D13" s="4" t="s">
        <v>710</v>
      </c>
      <c r="E13" s="4" t="s">
        <v>711</v>
      </c>
      <c r="F13" s="4" t="s">
        <v>184</v>
      </c>
      <c r="G13" s="4" t="s">
        <v>169</v>
      </c>
      <c r="H13" s="4" t="s">
        <v>689</v>
      </c>
      <c r="I13" s="4" t="s">
        <v>641</v>
      </c>
      <c r="J13" s="4" t="s">
        <v>712</v>
      </c>
      <c r="K13" s="4" t="s">
        <v>158</v>
      </c>
      <c r="L13" s="4"/>
      <c r="M13" s="4"/>
      <c r="N13" s="4" t="s">
        <v>656</v>
      </c>
      <c r="O13" s="4"/>
      <c r="P13" s="4"/>
      <c r="Q13" s="4"/>
      <c r="R13" s="4" t="s">
        <v>671</v>
      </c>
      <c r="S13" s="4"/>
      <c r="T13" s="4"/>
      <c r="U13" s="4"/>
      <c r="V13" s="4"/>
      <c r="W13" s="4"/>
      <c r="X13" s="4" t="s">
        <v>713</v>
      </c>
      <c r="Y13" s="4" t="s">
        <v>714</v>
      </c>
      <c r="Z13" s="4" t="s">
        <v>715</v>
      </c>
      <c r="AA13" s="4" t="s">
        <v>66</v>
      </c>
    </row>
    <row r="14" spans="1:27" ht="132" x14ac:dyDescent="0.3">
      <c r="A14" s="4" t="s">
        <v>635</v>
      </c>
      <c r="B14" s="4" t="s">
        <v>716</v>
      </c>
      <c r="C14" s="4" t="s">
        <v>637</v>
      </c>
      <c r="D14" s="4" t="s">
        <v>717</v>
      </c>
      <c r="E14" s="4" t="s">
        <v>676</v>
      </c>
      <c r="F14" s="4"/>
      <c r="G14" s="4"/>
      <c r="H14" s="4"/>
      <c r="I14" s="4" t="s">
        <v>387</v>
      </c>
      <c r="J14" s="4"/>
      <c r="K14" s="4" t="s">
        <v>158</v>
      </c>
      <c r="L14" s="4"/>
      <c r="M14" s="4"/>
      <c r="N14" s="4" t="s">
        <v>656</v>
      </c>
      <c r="O14" s="4"/>
      <c r="P14" s="4"/>
      <c r="Q14" s="4"/>
      <c r="R14" s="4" t="s">
        <v>657</v>
      </c>
      <c r="S14" s="4"/>
      <c r="T14" s="4"/>
      <c r="U14" s="4"/>
      <c r="V14" s="4"/>
      <c r="W14" s="4"/>
      <c r="X14" s="4" t="s">
        <v>718</v>
      </c>
      <c r="Y14" s="4" t="s">
        <v>719</v>
      </c>
      <c r="Z14" s="4" t="s">
        <v>720</v>
      </c>
      <c r="AA14" s="4" t="s">
        <v>67</v>
      </c>
    </row>
    <row r="15" spans="1:27" ht="231" x14ac:dyDescent="0.3">
      <c r="A15" s="4" t="s">
        <v>635</v>
      </c>
      <c r="B15" s="4" t="s">
        <v>721</v>
      </c>
      <c r="C15" s="4" t="s">
        <v>637</v>
      </c>
      <c r="D15" s="4" t="s">
        <v>722</v>
      </c>
      <c r="E15" s="4" t="s">
        <v>723</v>
      </c>
      <c r="F15" s="4"/>
      <c r="G15" s="4" t="s">
        <v>169</v>
      </c>
      <c r="H15" s="4" t="s">
        <v>689</v>
      </c>
      <c r="I15" s="4" t="s">
        <v>641</v>
      </c>
      <c r="J15" s="4"/>
      <c r="K15" s="4" t="s">
        <v>158</v>
      </c>
      <c r="L15" s="4"/>
      <c r="M15" s="4"/>
      <c r="N15" s="4" t="s">
        <v>724</v>
      </c>
      <c r="O15" s="4"/>
      <c r="P15" s="4"/>
      <c r="Q15" s="4"/>
      <c r="R15" s="4" t="s">
        <v>454</v>
      </c>
      <c r="S15" s="4"/>
      <c r="T15" s="4"/>
      <c r="U15" s="4"/>
      <c r="V15" s="4"/>
      <c r="W15" s="4"/>
      <c r="X15" s="4" t="s">
        <v>725</v>
      </c>
      <c r="Y15" s="4" t="s">
        <v>726</v>
      </c>
      <c r="Z15" s="4" t="s">
        <v>727</v>
      </c>
      <c r="AA15" s="4" t="s">
        <v>68</v>
      </c>
    </row>
    <row r="16" spans="1:27" ht="165" x14ac:dyDescent="0.3">
      <c r="A16" s="4" t="s">
        <v>635</v>
      </c>
      <c r="B16" s="4" t="s">
        <v>728</v>
      </c>
      <c r="C16" s="4" t="s">
        <v>637</v>
      </c>
      <c r="D16" s="4" t="s">
        <v>729</v>
      </c>
      <c r="E16" s="4" t="s">
        <v>730</v>
      </c>
      <c r="F16" s="4"/>
      <c r="G16" s="4" t="s">
        <v>169</v>
      </c>
      <c r="H16" s="4" t="s">
        <v>448</v>
      </c>
      <c r="I16" s="4" t="s">
        <v>196</v>
      </c>
      <c r="J16" s="4"/>
      <c r="K16" s="4" t="s">
        <v>158</v>
      </c>
      <c r="L16" s="4"/>
      <c r="M16" s="4"/>
      <c r="N16" s="4" t="s">
        <v>656</v>
      </c>
      <c r="O16" s="4"/>
      <c r="P16" s="4"/>
      <c r="Q16" s="4"/>
      <c r="R16" s="4" t="s">
        <v>657</v>
      </c>
      <c r="S16" s="4"/>
      <c r="T16" s="4"/>
      <c r="U16" s="4"/>
      <c r="V16" s="4"/>
      <c r="W16" s="4"/>
      <c r="X16" s="4" t="s">
        <v>731</v>
      </c>
      <c r="Y16" s="4" t="s">
        <v>714</v>
      </c>
      <c r="Z16" s="4" t="s">
        <v>732</v>
      </c>
      <c r="AA16" s="4" t="s">
        <v>69</v>
      </c>
    </row>
    <row r="17" spans="1:27" ht="214.5" x14ac:dyDescent="0.3">
      <c r="A17" s="4" t="s">
        <v>635</v>
      </c>
      <c r="B17" s="4" t="s">
        <v>733</v>
      </c>
      <c r="C17" s="4" t="s">
        <v>637</v>
      </c>
      <c r="D17" s="4" t="s">
        <v>734</v>
      </c>
      <c r="E17" s="4" t="s">
        <v>735</v>
      </c>
      <c r="F17" s="4"/>
      <c r="G17" s="4" t="s">
        <v>169</v>
      </c>
      <c r="H17" s="4" t="s">
        <v>736</v>
      </c>
      <c r="I17" s="4" t="s">
        <v>387</v>
      </c>
      <c r="J17" s="4" t="s">
        <v>197</v>
      </c>
      <c r="K17" s="4" t="s">
        <v>158</v>
      </c>
      <c r="L17" s="4"/>
      <c r="M17" s="4"/>
      <c r="N17" s="4" t="s">
        <v>519</v>
      </c>
      <c r="O17" s="4"/>
      <c r="P17" s="4"/>
      <c r="Q17" s="4"/>
      <c r="R17" s="4"/>
      <c r="S17" s="4"/>
      <c r="T17" s="4"/>
      <c r="U17" s="4"/>
      <c r="V17" s="4"/>
      <c r="W17" s="4"/>
      <c r="X17" s="4" t="s">
        <v>737</v>
      </c>
      <c r="Y17" s="4" t="s">
        <v>738</v>
      </c>
      <c r="Z17" s="4" t="s">
        <v>739</v>
      </c>
      <c r="AA17" s="4" t="s">
        <v>70</v>
      </c>
    </row>
    <row r="18" spans="1:27" ht="231" x14ac:dyDescent="0.3">
      <c r="A18" s="4" t="s">
        <v>635</v>
      </c>
      <c r="B18" s="4" t="s">
        <v>740</v>
      </c>
      <c r="C18" s="4" t="s">
        <v>637</v>
      </c>
      <c r="D18" s="4" t="s">
        <v>741</v>
      </c>
      <c r="E18" s="4" t="s">
        <v>742</v>
      </c>
      <c r="F18" s="4"/>
      <c r="G18" s="4" t="s">
        <v>169</v>
      </c>
      <c r="H18" s="4" t="s">
        <v>743</v>
      </c>
      <c r="I18" s="4" t="s">
        <v>196</v>
      </c>
      <c r="J18" s="4" t="s">
        <v>172</v>
      </c>
      <c r="K18" s="4" t="s">
        <v>158</v>
      </c>
      <c r="L18" s="4"/>
      <c r="M18" s="4"/>
      <c r="N18" s="4" t="s">
        <v>649</v>
      </c>
      <c r="O18" s="4" t="s">
        <v>211</v>
      </c>
      <c r="P18" s="4" t="s">
        <v>744</v>
      </c>
      <c r="Q18" s="4"/>
      <c r="R18" s="4" t="s">
        <v>671</v>
      </c>
      <c r="S18" s="4"/>
      <c r="T18" s="4"/>
      <c r="U18" s="4"/>
      <c r="V18" s="4"/>
      <c r="W18" s="4"/>
      <c r="X18" s="4" t="s">
        <v>745</v>
      </c>
      <c r="Y18" s="4" t="s">
        <v>746</v>
      </c>
      <c r="Z18" s="4" t="s">
        <v>747</v>
      </c>
      <c r="AA18" s="4" t="s">
        <v>71</v>
      </c>
    </row>
    <row r="19" spans="1:27" ht="132" x14ac:dyDescent="0.3">
      <c r="A19" s="4" t="s">
        <v>635</v>
      </c>
      <c r="B19" s="4" t="s">
        <v>748</v>
      </c>
      <c r="C19" s="4" t="s">
        <v>637</v>
      </c>
      <c r="D19" s="4" t="s">
        <v>749</v>
      </c>
      <c r="E19" s="4" t="s">
        <v>637</v>
      </c>
      <c r="F19" s="4"/>
      <c r="G19" s="4"/>
      <c r="H19" s="4"/>
      <c r="I19" s="4" t="s">
        <v>641</v>
      </c>
      <c r="J19" s="4" t="s">
        <v>197</v>
      </c>
      <c r="K19" s="4" t="s">
        <v>158</v>
      </c>
      <c r="L19" s="4"/>
      <c r="M19" s="4"/>
      <c r="N19" s="4"/>
      <c r="O19" s="4"/>
      <c r="P19" s="4"/>
      <c r="Q19" s="4"/>
      <c r="R19" s="4" t="s">
        <v>642</v>
      </c>
      <c r="S19" s="4"/>
      <c r="T19" s="4"/>
      <c r="U19" s="4"/>
      <c r="V19" s="4"/>
      <c r="W19" s="4"/>
      <c r="X19" s="4" t="s">
        <v>750</v>
      </c>
      <c r="Y19" s="4" t="s">
        <v>751</v>
      </c>
      <c r="Z19" s="4" t="s">
        <v>752</v>
      </c>
      <c r="AA19" s="4" t="s">
        <v>72</v>
      </c>
    </row>
    <row r="20" spans="1:27" ht="132" x14ac:dyDescent="0.3">
      <c r="A20" s="4" t="s">
        <v>635</v>
      </c>
      <c r="B20" s="4" t="s">
        <v>753</v>
      </c>
      <c r="C20" s="4" t="s">
        <v>637</v>
      </c>
      <c r="D20" s="4" t="s">
        <v>754</v>
      </c>
      <c r="E20" s="4" t="s">
        <v>755</v>
      </c>
      <c r="F20" s="4" t="s">
        <v>396</v>
      </c>
      <c r="G20" s="4"/>
      <c r="H20" s="4"/>
      <c r="I20" s="4" t="s">
        <v>641</v>
      </c>
      <c r="J20" s="4"/>
      <c r="K20" s="4" t="s">
        <v>158</v>
      </c>
      <c r="L20" s="4"/>
      <c r="M20" s="4"/>
      <c r="N20" s="4" t="s">
        <v>519</v>
      </c>
      <c r="O20" s="4"/>
      <c r="P20" s="4"/>
      <c r="Q20" s="4"/>
      <c r="R20" s="4" t="s">
        <v>642</v>
      </c>
      <c r="S20" s="4"/>
      <c r="T20" s="4"/>
      <c r="U20" s="4"/>
      <c r="V20" s="4"/>
      <c r="W20" s="4"/>
      <c r="X20" s="4" t="s">
        <v>756</v>
      </c>
      <c r="Y20" s="4" t="s">
        <v>644</v>
      </c>
      <c r="Z20" s="4" t="s">
        <v>757</v>
      </c>
      <c r="AA20" s="4" t="s">
        <v>73</v>
      </c>
    </row>
    <row r="21" spans="1:27" ht="132" x14ac:dyDescent="0.3">
      <c r="A21" s="4" t="s">
        <v>635</v>
      </c>
      <c r="B21" s="4" t="s">
        <v>758</v>
      </c>
      <c r="C21" s="4" t="s">
        <v>637</v>
      </c>
      <c r="D21" s="4" t="s">
        <v>759</v>
      </c>
      <c r="E21" s="4" t="s">
        <v>682</v>
      </c>
      <c r="F21" s="4"/>
      <c r="G21" s="4" t="s">
        <v>337</v>
      </c>
      <c r="H21" s="4"/>
      <c r="I21" s="4" t="s">
        <v>641</v>
      </c>
      <c r="J21" s="4"/>
      <c r="K21" s="4" t="s">
        <v>158</v>
      </c>
      <c r="L21" s="4"/>
      <c r="M21" s="4"/>
      <c r="N21" s="4" t="s">
        <v>567</v>
      </c>
      <c r="O21" s="4"/>
      <c r="P21" s="4"/>
      <c r="Q21" s="4"/>
      <c r="R21" s="4" t="s">
        <v>642</v>
      </c>
      <c r="S21" s="4"/>
      <c r="T21" s="4"/>
      <c r="U21" s="4"/>
      <c r="V21" s="4"/>
      <c r="W21" s="4"/>
      <c r="X21" s="4" t="s">
        <v>760</v>
      </c>
      <c r="Y21" s="4" t="s">
        <v>665</v>
      </c>
      <c r="Z21" s="4" t="s">
        <v>761</v>
      </c>
      <c r="AA21" s="4" t="s">
        <v>74</v>
      </c>
    </row>
    <row r="22" spans="1:27" ht="247.5" x14ac:dyDescent="0.3">
      <c r="A22" s="4" t="s">
        <v>635</v>
      </c>
      <c r="B22" s="4" t="s">
        <v>762</v>
      </c>
      <c r="C22" s="4" t="s">
        <v>637</v>
      </c>
      <c r="D22" s="4" t="s">
        <v>763</v>
      </c>
      <c r="E22" s="4" t="s">
        <v>764</v>
      </c>
      <c r="F22" s="4"/>
      <c r="G22" s="4" t="s">
        <v>296</v>
      </c>
      <c r="H22" s="4" t="s">
        <v>765</v>
      </c>
      <c r="I22" s="4" t="s">
        <v>298</v>
      </c>
      <c r="J22" s="4"/>
      <c r="K22" s="4" t="s">
        <v>158</v>
      </c>
      <c r="L22" s="4"/>
      <c r="M22" s="4"/>
      <c r="N22" s="4" t="s">
        <v>724</v>
      </c>
      <c r="O22" s="4"/>
      <c r="P22" s="4"/>
      <c r="Q22" s="4"/>
      <c r="R22" s="4" t="s">
        <v>454</v>
      </c>
      <c r="S22" s="4"/>
      <c r="T22" s="4"/>
      <c r="U22" s="4"/>
      <c r="V22" s="4"/>
      <c r="W22" s="4"/>
      <c r="X22" s="4" t="s">
        <v>766</v>
      </c>
      <c r="Y22" s="4" t="s">
        <v>767</v>
      </c>
      <c r="Z22" s="4" t="s">
        <v>768</v>
      </c>
      <c r="AA22" s="4" t="s">
        <v>75</v>
      </c>
    </row>
    <row r="23" spans="1:27" ht="148.5" x14ac:dyDescent="0.3">
      <c r="A23" s="4" t="s">
        <v>635</v>
      </c>
      <c r="B23" s="4" t="s">
        <v>769</v>
      </c>
      <c r="C23" s="4" t="s">
        <v>637</v>
      </c>
      <c r="D23" s="4" t="s">
        <v>770</v>
      </c>
      <c r="E23" s="4" t="s">
        <v>771</v>
      </c>
      <c r="F23" s="4"/>
      <c r="G23" s="4"/>
      <c r="H23" s="4" t="s">
        <v>772</v>
      </c>
      <c r="I23" s="4" t="s">
        <v>338</v>
      </c>
      <c r="J23" s="4"/>
      <c r="K23" s="4" t="s">
        <v>158</v>
      </c>
      <c r="L23" s="4"/>
      <c r="M23" s="4"/>
      <c r="N23" s="4" t="s">
        <v>649</v>
      </c>
      <c r="O23" s="4"/>
      <c r="P23" s="4"/>
      <c r="Q23" s="4"/>
      <c r="R23" s="4" t="s">
        <v>454</v>
      </c>
      <c r="S23" s="4"/>
      <c r="T23" s="4"/>
      <c r="U23" s="4"/>
      <c r="V23" s="4"/>
      <c r="W23" s="4"/>
      <c r="X23" s="4" t="s">
        <v>773</v>
      </c>
      <c r="Y23" s="4" t="s">
        <v>774</v>
      </c>
      <c r="Z23" s="4" t="s">
        <v>775</v>
      </c>
      <c r="AA23" s="4" t="s">
        <v>76</v>
      </c>
    </row>
    <row r="24" spans="1:27" ht="132" x14ac:dyDescent="0.3">
      <c r="A24" s="4" t="s">
        <v>635</v>
      </c>
      <c r="B24" s="4" t="s">
        <v>776</v>
      </c>
      <c r="C24" s="4" t="s">
        <v>637</v>
      </c>
      <c r="D24" s="4" t="s">
        <v>777</v>
      </c>
      <c r="E24" s="4" t="s">
        <v>778</v>
      </c>
      <c r="F24" s="4" t="s">
        <v>336</v>
      </c>
      <c r="G24" s="4"/>
      <c r="H24" s="4"/>
      <c r="I24" s="4" t="s">
        <v>641</v>
      </c>
      <c r="J24" s="4" t="s">
        <v>339</v>
      </c>
      <c r="K24" s="4" t="s">
        <v>158</v>
      </c>
      <c r="L24" s="4"/>
      <c r="M24" s="4"/>
      <c r="N24" s="4" t="s">
        <v>519</v>
      </c>
      <c r="O24" s="4"/>
      <c r="P24" s="4"/>
      <c r="Q24" s="4"/>
      <c r="R24" s="4"/>
      <c r="S24" s="4"/>
      <c r="T24" s="4"/>
      <c r="U24" s="4"/>
      <c r="V24" s="4"/>
      <c r="W24" s="4"/>
      <c r="X24" s="4" t="s">
        <v>779</v>
      </c>
      <c r="Y24" s="4" t="s">
        <v>644</v>
      </c>
      <c r="Z24" s="4" t="s">
        <v>780</v>
      </c>
      <c r="AA24" s="4" t="s">
        <v>77</v>
      </c>
    </row>
    <row r="25" spans="1:27" ht="148.5" x14ac:dyDescent="0.3">
      <c r="A25" s="4" t="s">
        <v>635</v>
      </c>
      <c r="B25" s="4" t="s">
        <v>781</v>
      </c>
      <c r="C25" s="4" t="s">
        <v>637</v>
      </c>
      <c r="D25" s="4" t="s">
        <v>782</v>
      </c>
      <c r="E25" s="4" t="s">
        <v>755</v>
      </c>
      <c r="F25" s="4" t="s">
        <v>396</v>
      </c>
      <c r="G25" s="4"/>
      <c r="H25" s="4"/>
      <c r="I25" s="4" t="s">
        <v>641</v>
      </c>
      <c r="J25" s="4"/>
      <c r="K25" s="4" t="s">
        <v>158</v>
      </c>
      <c r="L25" s="4"/>
      <c r="M25" s="4"/>
      <c r="N25" s="4" t="s">
        <v>656</v>
      </c>
      <c r="O25" s="4"/>
      <c r="P25" s="4"/>
      <c r="Q25" s="4"/>
      <c r="R25" s="4" t="s">
        <v>657</v>
      </c>
      <c r="S25" s="4"/>
      <c r="T25" s="4"/>
      <c r="U25" s="4"/>
      <c r="V25" s="4"/>
      <c r="W25" s="4"/>
      <c r="X25" s="4" t="s">
        <v>695</v>
      </c>
      <c r="Y25" s="4" t="s">
        <v>783</v>
      </c>
      <c r="Z25" s="4" t="s">
        <v>784</v>
      </c>
      <c r="AA25" s="4" t="s">
        <v>78</v>
      </c>
    </row>
    <row r="26" spans="1:27" ht="148.5" x14ac:dyDescent="0.3">
      <c r="A26" s="4" t="s">
        <v>635</v>
      </c>
      <c r="B26" s="4" t="s">
        <v>785</v>
      </c>
      <c r="C26" s="4" t="s">
        <v>637</v>
      </c>
      <c r="D26" s="4" t="s">
        <v>786</v>
      </c>
      <c r="E26" s="4" t="s">
        <v>787</v>
      </c>
      <c r="F26" s="4"/>
      <c r="G26" s="4"/>
      <c r="H26" s="4"/>
      <c r="I26" s="4" t="s">
        <v>641</v>
      </c>
      <c r="J26" s="4"/>
      <c r="K26" s="4" t="s">
        <v>158</v>
      </c>
      <c r="L26" s="4"/>
      <c r="M26" s="4"/>
      <c r="N26" s="4" t="s">
        <v>656</v>
      </c>
      <c r="O26" s="4"/>
      <c r="P26" s="4"/>
      <c r="Q26" s="4"/>
      <c r="R26" s="4" t="s">
        <v>657</v>
      </c>
      <c r="S26" s="4"/>
      <c r="T26" s="4"/>
      <c r="U26" s="4"/>
      <c r="V26" s="4"/>
      <c r="W26" s="4"/>
      <c r="X26" s="4" t="s">
        <v>788</v>
      </c>
      <c r="Y26" s="4" t="s">
        <v>644</v>
      </c>
      <c r="Z26" s="4" t="s">
        <v>789</v>
      </c>
      <c r="AA26" s="4" t="s">
        <v>79</v>
      </c>
    </row>
    <row r="27" spans="1:27" ht="165" x14ac:dyDescent="0.3">
      <c r="A27" s="4" t="s">
        <v>635</v>
      </c>
      <c r="B27" s="4" t="s">
        <v>790</v>
      </c>
      <c r="C27" s="4" t="s">
        <v>637</v>
      </c>
      <c r="D27" s="4" t="s">
        <v>791</v>
      </c>
      <c r="E27" s="4" t="s">
        <v>637</v>
      </c>
      <c r="F27" s="4"/>
      <c r="G27" s="4"/>
      <c r="H27" s="4"/>
      <c r="I27" s="4" t="s">
        <v>641</v>
      </c>
      <c r="J27" s="4"/>
      <c r="K27" s="4" t="s">
        <v>158</v>
      </c>
      <c r="L27" s="4"/>
      <c r="M27" s="4"/>
      <c r="N27" s="4" t="s">
        <v>567</v>
      </c>
      <c r="O27" s="4"/>
      <c r="P27" s="4"/>
      <c r="Q27" s="4"/>
      <c r="R27" s="4" t="s">
        <v>671</v>
      </c>
      <c r="S27" s="4"/>
      <c r="T27" s="4"/>
      <c r="U27" s="4"/>
      <c r="V27" s="4"/>
      <c r="W27" s="4"/>
      <c r="X27" s="4" t="s">
        <v>792</v>
      </c>
      <c r="Y27" s="4" t="s">
        <v>793</v>
      </c>
      <c r="Z27" s="4" t="s">
        <v>794</v>
      </c>
      <c r="AA27" s="4" t="s">
        <v>80</v>
      </c>
    </row>
    <row r="28" spans="1:27" ht="148.5" x14ac:dyDescent="0.3">
      <c r="A28" s="4" t="s">
        <v>635</v>
      </c>
      <c r="B28" s="4" t="s">
        <v>795</v>
      </c>
      <c r="C28" s="4" t="s">
        <v>637</v>
      </c>
      <c r="D28" s="4" t="s">
        <v>796</v>
      </c>
      <c r="E28" s="4" t="s">
        <v>637</v>
      </c>
      <c r="F28" s="4"/>
      <c r="G28" s="4"/>
      <c r="H28" s="4"/>
      <c r="I28" s="4" t="s">
        <v>641</v>
      </c>
      <c r="J28" s="4"/>
      <c r="K28" s="4" t="s">
        <v>158</v>
      </c>
      <c r="L28" s="4"/>
      <c r="M28" s="4"/>
      <c r="N28" s="4" t="s">
        <v>649</v>
      </c>
      <c r="O28" s="4"/>
      <c r="P28" s="4"/>
      <c r="Q28" s="4"/>
      <c r="R28" s="4" t="s">
        <v>671</v>
      </c>
      <c r="S28" s="4"/>
      <c r="T28" s="4"/>
      <c r="U28" s="4"/>
      <c r="V28" s="4"/>
      <c r="W28" s="4"/>
      <c r="X28" s="4" t="s">
        <v>797</v>
      </c>
      <c r="Y28" s="4" t="s">
        <v>644</v>
      </c>
      <c r="Z28" s="4" t="s">
        <v>798</v>
      </c>
      <c r="AA28" s="4" t="s">
        <v>81</v>
      </c>
    </row>
    <row r="29" spans="1:27" ht="132" x14ac:dyDescent="0.3">
      <c r="A29" s="4" t="s">
        <v>635</v>
      </c>
      <c r="B29" s="4" t="s">
        <v>799</v>
      </c>
      <c r="C29" s="4" t="s">
        <v>637</v>
      </c>
      <c r="D29" s="4" t="s">
        <v>800</v>
      </c>
      <c r="E29" s="4" t="s">
        <v>682</v>
      </c>
      <c r="F29" s="4"/>
      <c r="G29" s="4" t="s">
        <v>337</v>
      </c>
      <c r="H29" s="4"/>
      <c r="I29" s="4" t="s">
        <v>641</v>
      </c>
      <c r="J29" s="4"/>
      <c r="K29" s="4" t="s">
        <v>158</v>
      </c>
      <c r="L29" s="4"/>
      <c r="M29" s="4"/>
      <c r="N29" s="4" t="s">
        <v>567</v>
      </c>
      <c r="O29" s="4"/>
      <c r="P29" s="4"/>
      <c r="Q29" s="4"/>
      <c r="R29" s="4" t="s">
        <v>642</v>
      </c>
      <c r="S29" s="4"/>
      <c r="T29" s="4"/>
      <c r="U29" s="4"/>
      <c r="V29" s="4"/>
      <c r="W29" s="4"/>
      <c r="X29" s="4" t="s">
        <v>801</v>
      </c>
      <c r="Y29" s="4" t="s">
        <v>665</v>
      </c>
      <c r="Z29" s="4" t="s">
        <v>802</v>
      </c>
      <c r="AA29" s="4" t="s">
        <v>82</v>
      </c>
    </row>
    <row r="30" spans="1:27" ht="148.5" x14ac:dyDescent="0.3">
      <c r="A30" s="4" t="s">
        <v>635</v>
      </c>
      <c r="B30" s="4" t="s">
        <v>803</v>
      </c>
      <c r="C30" s="4" t="s">
        <v>637</v>
      </c>
      <c r="D30" s="4" t="s">
        <v>804</v>
      </c>
      <c r="E30" s="4" t="s">
        <v>805</v>
      </c>
      <c r="F30" s="4"/>
      <c r="G30" s="4"/>
      <c r="H30" s="4" t="s">
        <v>298</v>
      </c>
      <c r="I30" s="4" t="s">
        <v>298</v>
      </c>
      <c r="J30" s="4"/>
      <c r="K30" s="4" t="s">
        <v>158</v>
      </c>
      <c r="L30" s="4"/>
      <c r="M30" s="4"/>
      <c r="N30" s="4" t="s">
        <v>519</v>
      </c>
      <c r="O30" s="4"/>
      <c r="P30" s="4"/>
      <c r="Q30" s="4"/>
      <c r="R30" s="4" t="s">
        <v>657</v>
      </c>
      <c r="S30" s="4"/>
      <c r="T30" s="4"/>
      <c r="U30" s="4"/>
      <c r="V30" s="4"/>
      <c r="W30" s="4"/>
      <c r="X30" s="4" t="s">
        <v>806</v>
      </c>
      <c r="Y30" s="4" t="s">
        <v>807</v>
      </c>
      <c r="Z30" s="4" t="s">
        <v>808</v>
      </c>
      <c r="AA30" s="4" t="s">
        <v>83</v>
      </c>
    </row>
    <row r="31" spans="1:27" ht="165" x14ac:dyDescent="0.3">
      <c r="A31" s="4" t="s">
        <v>635</v>
      </c>
      <c r="B31" s="4" t="s">
        <v>809</v>
      </c>
      <c r="C31" s="4" t="s">
        <v>637</v>
      </c>
      <c r="D31" s="4" t="s">
        <v>810</v>
      </c>
      <c r="E31" s="4" t="s">
        <v>805</v>
      </c>
      <c r="F31" s="4"/>
      <c r="G31" s="4"/>
      <c r="H31" s="4" t="s">
        <v>298</v>
      </c>
      <c r="I31" s="4" t="s">
        <v>298</v>
      </c>
      <c r="J31" s="4"/>
      <c r="K31" s="4" t="s">
        <v>158</v>
      </c>
      <c r="L31" s="4"/>
      <c r="M31" s="4"/>
      <c r="N31" s="4" t="s">
        <v>656</v>
      </c>
      <c r="O31" s="4"/>
      <c r="P31" s="4"/>
      <c r="Q31" s="4"/>
      <c r="R31" s="4" t="s">
        <v>657</v>
      </c>
      <c r="S31" s="4"/>
      <c r="T31" s="4"/>
      <c r="U31" s="4"/>
      <c r="V31" s="4"/>
      <c r="W31" s="4"/>
      <c r="X31" s="4" t="s">
        <v>677</v>
      </c>
      <c r="Y31" s="4" t="s">
        <v>811</v>
      </c>
      <c r="Z31" s="4" t="s">
        <v>812</v>
      </c>
      <c r="AA31" s="4" t="s">
        <v>84</v>
      </c>
    </row>
    <row r="32" spans="1:27" ht="148.5" x14ac:dyDescent="0.3">
      <c r="A32" s="4" t="s">
        <v>635</v>
      </c>
      <c r="B32" s="4" t="s">
        <v>813</v>
      </c>
      <c r="C32" s="4" t="s">
        <v>637</v>
      </c>
      <c r="D32" s="4" t="s">
        <v>814</v>
      </c>
      <c r="E32" s="4" t="s">
        <v>805</v>
      </c>
      <c r="F32" s="4"/>
      <c r="G32" s="4"/>
      <c r="H32" s="4" t="s">
        <v>298</v>
      </c>
      <c r="I32" s="4" t="s">
        <v>298</v>
      </c>
      <c r="J32" s="4"/>
      <c r="K32" s="4" t="s">
        <v>158</v>
      </c>
      <c r="L32" s="4"/>
      <c r="M32" s="4"/>
      <c r="N32" s="4" t="s">
        <v>724</v>
      </c>
      <c r="O32" s="4"/>
      <c r="P32" s="4"/>
      <c r="Q32" s="4"/>
      <c r="R32" s="4" t="s">
        <v>454</v>
      </c>
      <c r="S32" s="4"/>
      <c r="T32" s="4"/>
      <c r="U32" s="4"/>
      <c r="V32" s="4"/>
      <c r="W32" s="4"/>
      <c r="X32" s="4" t="s">
        <v>731</v>
      </c>
      <c r="Y32" s="4" t="s">
        <v>807</v>
      </c>
      <c r="Z32" s="4" t="s">
        <v>815</v>
      </c>
      <c r="AA32" s="4" t="s">
        <v>85</v>
      </c>
    </row>
    <row r="33" spans="1:27" ht="214.5" x14ac:dyDescent="0.3">
      <c r="A33" s="4" t="s">
        <v>635</v>
      </c>
      <c r="B33" s="4" t="s">
        <v>816</v>
      </c>
      <c r="C33" s="4" t="s">
        <v>637</v>
      </c>
      <c r="D33" s="4" t="s">
        <v>817</v>
      </c>
      <c r="E33" s="4" t="s">
        <v>805</v>
      </c>
      <c r="F33" s="4"/>
      <c r="G33" s="4"/>
      <c r="H33" s="4" t="s">
        <v>298</v>
      </c>
      <c r="I33" s="4" t="s">
        <v>298</v>
      </c>
      <c r="J33" s="4"/>
      <c r="K33" s="4" t="s">
        <v>158</v>
      </c>
      <c r="L33" s="4"/>
      <c r="M33" s="4"/>
      <c r="N33" s="4" t="s">
        <v>724</v>
      </c>
      <c r="O33" s="4"/>
      <c r="P33" s="4"/>
      <c r="Q33" s="4"/>
      <c r="R33" s="4" t="s">
        <v>454</v>
      </c>
      <c r="S33" s="4"/>
      <c r="T33" s="4"/>
      <c r="U33" s="4"/>
      <c r="V33" s="4"/>
      <c r="W33" s="4"/>
      <c r="X33" s="4" t="s">
        <v>818</v>
      </c>
      <c r="Y33" s="4" t="s">
        <v>819</v>
      </c>
      <c r="Z33" s="4" t="s">
        <v>820</v>
      </c>
      <c r="AA33" s="4" t="s">
        <v>821</v>
      </c>
    </row>
    <row r="34" spans="1:27" ht="181.5" x14ac:dyDescent="0.3">
      <c r="A34" s="4" t="s">
        <v>635</v>
      </c>
      <c r="B34" s="4" t="s">
        <v>822</v>
      </c>
      <c r="C34" s="4" t="s">
        <v>637</v>
      </c>
      <c r="D34" s="4" t="s">
        <v>823</v>
      </c>
      <c r="E34" s="4" t="s">
        <v>755</v>
      </c>
      <c r="F34" s="4" t="s">
        <v>396</v>
      </c>
      <c r="G34" s="4"/>
      <c r="H34" s="4"/>
      <c r="I34" s="4" t="s">
        <v>641</v>
      </c>
      <c r="J34" s="4" t="s">
        <v>824</v>
      </c>
      <c r="K34" s="4" t="s">
        <v>158</v>
      </c>
      <c r="L34" s="4"/>
      <c r="M34" s="4"/>
      <c r="N34" s="4" t="s">
        <v>656</v>
      </c>
      <c r="O34" s="4"/>
      <c r="P34" s="4"/>
      <c r="Q34" s="4"/>
      <c r="R34" s="4" t="s">
        <v>657</v>
      </c>
      <c r="S34" s="4"/>
      <c r="T34" s="4"/>
      <c r="U34" s="4"/>
      <c r="V34" s="4"/>
      <c r="W34" s="4"/>
      <c r="X34" s="4" t="s">
        <v>718</v>
      </c>
      <c r="Y34" s="4" t="s">
        <v>651</v>
      </c>
      <c r="Z34" s="4" t="s">
        <v>825</v>
      </c>
      <c r="AA34" s="4" t="s">
        <v>87</v>
      </c>
    </row>
    <row r="35" spans="1:27" ht="148.5" x14ac:dyDescent="0.3">
      <c r="A35" s="4" t="s">
        <v>635</v>
      </c>
      <c r="B35" s="4" t="s">
        <v>826</v>
      </c>
      <c r="C35" s="4" t="s">
        <v>637</v>
      </c>
      <c r="D35" s="4" t="s">
        <v>827</v>
      </c>
      <c r="E35" s="4" t="s">
        <v>663</v>
      </c>
      <c r="F35" s="4" t="s">
        <v>184</v>
      </c>
      <c r="G35" s="4" t="s">
        <v>337</v>
      </c>
      <c r="H35" s="4"/>
      <c r="I35" s="4" t="s">
        <v>641</v>
      </c>
      <c r="J35" s="4" t="s">
        <v>828</v>
      </c>
      <c r="K35" s="4" t="s">
        <v>158</v>
      </c>
      <c r="L35" s="4"/>
      <c r="M35" s="4"/>
      <c r="N35" s="4" t="s">
        <v>656</v>
      </c>
      <c r="O35" s="4"/>
      <c r="P35" s="4"/>
      <c r="Q35" s="4"/>
      <c r="R35" s="4" t="s">
        <v>657</v>
      </c>
      <c r="S35" s="4"/>
      <c r="T35" s="4"/>
      <c r="U35" s="4"/>
      <c r="V35" s="4"/>
      <c r="W35" s="4"/>
      <c r="X35" s="4" t="s">
        <v>829</v>
      </c>
      <c r="Y35" s="4" t="s">
        <v>665</v>
      </c>
      <c r="Z35" s="4" t="s">
        <v>830</v>
      </c>
      <c r="AA35" s="4" t="s">
        <v>88</v>
      </c>
    </row>
    <row r="36" spans="1:27" ht="280.5" x14ac:dyDescent="0.3">
      <c r="A36" s="4" t="s">
        <v>635</v>
      </c>
      <c r="B36" s="4" t="s">
        <v>831</v>
      </c>
      <c r="C36" s="4" t="s">
        <v>637</v>
      </c>
      <c r="D36" s="4" t="s">
        <v>832</v>
      </c>
      <c r="E36" s="4" t="s">
        <v>833</v>
      </c>
      <c r="F36" s="4"/>
      <c r="G36" s="4" t="s">
        <v>296</v>
      </c>
      <c r="H36" s="4" t="s">
        <v>834</v>
      </c>
      <c r="I36" s="4" t="s">
        <v>387</v>
      </c>
      <c r="J36" s="4"/>
      <c r="K36" s="4" t="s">
        <v>158</v>
      </c>
      <c r="L36" s="4"/>
      <c r="M36" s="4"/>
      <c r="N36" s="4" t="s">
        <v>656</v>
      </c>
      <c r="O36" s="4"/>
      <c r="P36" s="4"/>
      <c r="Q36" s="4"/>
      <c r="R36" s="4" t="s">
        <v>290</v>
      </c>
      <c r="S36" s="4"/>
      <c r="T36" s="4"/>
      <c r="U36" s="4"/>
      <c r="V36" s="4"/>
      <c r="W36" s="4"/>
      <c r="X36" s="4" t="s">
        <v>713</v>
      </c>
      <c r="Y36" s="4" t="s">
        <v>835</v>
      </c>
      <c r="Z36" s="4" t="s">
        <v>836</v>
      </c>
      <c r="AA36" s="4" t="s">
        <v>89</v>
      </c>
    </row>
    <row r="37" spans="1:27" ht="148.5" x14ac:dyDescent="0.3">
      <c r="A37" s="4" t="s">
        <v>635</v>
      </c>
      <c r="B37" s="4" t="s">
        <v>837</v>
      </c>
      <c r="C37" s="4" t="s">
        <v>637</v>
      </c>
      <c r="D37" s="4" t="s">
        <v>838</v>
      </c>
      <c r="E37" s="4" t="s">
        <v>805</v>
      </c>
      <c r="F37" s="4"/>
      <c r="G37" s="4"/>
      <c r="H37" s="4" t="s">
        <v>298</v>
      </c>
      <c r="I37" s="4" t="s">
        <v>298</v>
      </c>
      <c r="J37" s="4"/>
      <c r="K37" s="4" t="s">
        <v>158</v>
      </c>
      <c r="L37" s="4"/>
      <c r="M37" s="4"/>
      <c r="N37" s="4" t="s">
        <v>656</v>
      </c>
      <c r="O37" s="4"/>
      <c r="P37" s="4"/>
      <c r="Q37" s="4"/>
      <c r="R37" s="4" t="s">
        <v>642</v>
      </c>
      <c r="S37" s="4"/>
      <c r="T37" s="4"/>
      <c r="U37" s="4"/>
      <c r="V37" s="4"/>
      <c r="W37" s="4"/>
      <c r="X37" s="4" t="s">
        <v>839</v>
      </c>
      <c r="Y37" s="4" t="s">
        <v>807</v>
      </c>
      <c r="Z37" s="4" t="s">
        <v>840</v>
      </c>
      <c r="AA37" s="4" t="s">
        <v>90</v>
      </c>
    </row>
    <row r="38" spans="1:27" ht="148.5" x14ac:dyDescent="0.3">
      <c r="A38" s="4" t="s">
        <v>635</v>
      </c>
      <c r="B38" s="4" t="s">
        <v>841</v>
      </c>
      <c r="C38" s="4" t="s">
        <v>637</v>
      </c>
      <c r="D38" s="4" t="s">
        <v>842</v>
      </c>
      <c r="E38" s="4" t="s">
        <v>805</v>
      </c>
      <c r="F38" s="4"/>
      <c r="G38" s="4"/>
      <c r="H38" s="4" t="s">
        <v>298</v>
      </c>
      <c r="I38" s="4" t="s">
        <v>298</v>
      </c>
      <c r="J38" s="4"/>
      <c r="K38" s="4" t="s">
        <v>158</v>
      </c>
      <c r="L38" s="4"/>
      <c r="M38" s="4"/>
      <c r="N38" s="4" t="s">
        <v>519</v>
      </c>
      <c r="O38" s="4"/>
      <c r="P38" s="4"/>
      <c r="Q38" s="4"/>
      <c r="R38" s="4" t="s">
        <v>290</v>
      </c>
      <c r="S38" s="4"/>
      <c r="T38" s="4"/>
      <c r="U38" s="4"/>
      <c r="V38" s="4"/>
      <c r="W38" s="4"/>
      <c r="X38" s="4" t="s">
        <v>843</v>
      </c>
      <c r="Y38" s="4" t="s">
        <v>807</v>
      </c>
      <c r="Z38" s="4" t="s">
        <v>844</v>
      </c>
      <c r="AA38" s="4" t="s">
        <v>91</v>
      </c>
    </row>
    <row r="39" spans="1:27" ht="181.5" x14ac:dyDescent="0.3">
      <c r="A39" s="4" t="s">
        <v>635</v>
      </c>
      <c r="B39" s="4" t="s">
        <v>845</v>
      </c>
      <c r="C39" s="4" t="s">
        <v>637</v>
      </c>
      <c r="D39" s="4" t="s">
        <v>846</v>
      </c>
      <c r="E39" s="4" t="s">
        <v>805</v>
      </c>
      <c r="F39" s="4"/>
      <c r="G39" s="4"/>
      <c r="H39" s="4" t="s">
        <v>298</v>
      </c>
      <c r="I39" s="4" t="s">
        <v>298</v>
      </c>
      <c r="J39" s="4"/>
      <c r="K39" s="4" t="s">
        <v>158</v>
      </c>
      <c r="L39" s="4"/>
      <c r="M39" s="4"/>
      <c r="N39" s="4" t="s">
        <v>724</v>
      </c>
      <c r="O39" s="4"/>
      <c r="P39" s="4"/>
      <c r="Q39" s="4"/>
      <c r="R39" s="4" t="s">
        <v>454</v>
      </c>
      <c r="S39" s="4"/>
      <c r="T39" s="4"/>
      <c r="U39" s="4"/>
      <c r="V39" s="4"/>
      <c r="W39" s="4"/>
      <c r="X39" s="4" t="s">
        <v>847</v>
      </c>
      <c r="Y39" s="4" t="s">
        <v>807</v>
      </c>
      <c r="Z39" s="4" t="s">
        <v>848</v>
      </c>
      <c r="AA39" s="4" t="s">
        <v>92</v>
      </c>
    </row>
    <row r="40" spans="1:27" ht="148.5" x14ac:dyDescent="0.3">
      <c r="A40" s="4" t="s">
        <v>635</v>
      </c>
      <c r="B40" s="4" t="s">
        <v>849</v>
      </c>
      <c r="C40" s="4" t="s">
        <v>637</v>
      </c>
      <c r="D40" s="4" t="s">
        <v>850</v>
      </c>
      <c r="E40" s="4" t="s">
        <v>805</v>
      </c>
      <c r="F40" s="4"/>
      <c r="G40" s="4"/>
      <c r="H40" s="4" t="s">
        <v>298</v>
      </c>
      <c r="I40" s="4" t="s">
        <v>298</v>
      </c>
      <c r="J40" s="4" t="s">
        <v>508</v>
      </c>
      <c r="K40" s="4" t="s">
        <v>158</v>
      </c>
      <c r="L40" s="4"/>
      <c r="M40" s="4"/>
      <c r="N40" s="4" t="s">
        <v>519</v>
      </c>
      <c r="O40" s="4"/>
      <c r="P40" s="4"/>
      <c r="Q40" s="4"/>
      <c r="R40" s="4" t="s">
        <v>657</v>
      </c>
      <c r="S40" s="4"/>
      <c r="T40" s="4"/>
      <c r="U40" s="4"/>
      <c r="V40" s="4"/>
      <c r="W40" s="4"/>
      <c r="X40" s="4" t="s">
        <v>851</v>
      </c>
      <c r="Y40" s="4" t="s">
        <v>807</v>
      </c>
      <c r="Z40" s="4" t="s">
        <v>852</v>
      </c>
      <c r="AA40" s="4" t="s">
        <v>93</v>
      </c>
    </row>
    <row r="41" spans="1:27" ht="165" x14ac:dyDescent="0.3">
      <c r="A41" s="4" t="s">
        <v>635</v>
      </c>
      <c r="B41" s="4" t="s">
        <v>853</v>
      </c>
      <c r="C41" s="4" t="s">
        <v>637</v>
      </c>
      <c r="D41" s="4" t="s">
        <v>854</v>
      </c>
      <c r="E41" s="4" t="s">
        <v>676</v>
      </c>
      <c r="F41" s="4"/>
      <c r="G41" s="4"/>
      <c r="H41" s="4"/>
      <c r="I41" s="4" t="s">
        <v>387</v>
      </c>
      <c r="J41" s="4"/>
      <c r="K41" s="4" t="s">
        <v>158</v>
      </c>
      <c r="L41" s="4"/>
      <c r="M41" s="4"/>
      <c r="N41" s="4" t="s">
        <v>649</v>
      </c>
      <c r="O41" s="4"/>
      <c r="P41" s="4"/>
      <c r="Q41" s="4"/>
      <c r="R41" s="4" t="s">
        <v>657</v>
      </c>
      <c r="S41" s="4"/>
      <c r="T41" s="4"/>
      <c r="U41" s="4"/>
      <c r="V41" s="4"/>
      <c r="W41" s="4"/>
      <c r="X41" s="4" t="s">
        <v>855</v>
      </c>
      <c r="Y41" s="4" t="s">
        <v>856</v>
      </c>
      <c r="Z41" s="4" t="s">
        <v>857</v>
      </c>
      <c r="AA41" s="4" t="s">
        <v>94</v>
      </c>
    </row>
    <row r="42" spans="1:27" ht="181.5" x14ac:dyDescent="0.3">
      <c r="A42" s="4" t="s">
        <v>635</v>
      </c>
      <c r="B42" s="4" t="s">
        <v>858</v>
      </c>
      <c r="C42" s="4" t="s">
        <v>637</v>
      </c>
      <c r="D42" s="4" t="s">
        <v>859</v>
      </c>
      <c r="E42" s="4" t="s">
        <v>860</v>
      </c>
      <c r="F42" s="4" t="s">
        <v>861</v>
      </c>
      <c r="G42" s="4" t="s">
        <v>337</v>
      </c>
      <c r="H42" s="4" t="s">
        <v>298</v>
      </c>
      <c r="I42" s="4" t="s">
        <v>298</v>
      </c>
      <c r="J42" s="4"/>
      <c r="K42" s="4" t="s">
        <v>158</v>
      </c>
      <c r="L42" s="4"/>
      <c r="M42" s="4"/>
      <c r="N42" s="4" t="s">
        <v>656</v>
      </c>
      <c r="O42" s="4"/>
      <c r="P42" s="4"/>
      <c r="Q42" s="4"/>
      <c r="R42" s="4" t="s">
        <v>671</v>
      </c>
      <c r="S42" s="4"/>
      <c r="T42" s="4"/>
      <c r="U42" s="4"/>
      <c r="V42" s="4"/>
      <c r="W42" s="4"/>
      <c r="X42" s="4" t="s">
        <v>700</v>
      </c>
      <c r="Y42" s="4" t="s">
        <v>862</v>
      </c>
      <c r="Z42" s="4" t="s">
        <v>863</v>
      </c>
      <c r="AA42" s="4" t="s">
        <v>95</v>
      </c>
    </row>
    <row r="43" spans="1:27" ht="165" x14ac:dyDescent="0.3">
      <c r="A43" s="4" t="s">
        <v>635</v>
      </c>
      <c r="B43" s="4" t="s">
        <v>864</v>
      </c>
      <c r="C43" s="4" t="s">
        <v>637</v>
      </c>
      <c r="D43" s="4" t="s">
        <v>865</v>
      </c>
      <c r="E43" s="4" t="s">
        <v>637</v>
      </c>
      <c r="F43" s="4"/>
      <c r="G43" s="4"/>
      <c r="H43" s="4"/>
      <c r="I43" s="4" t="s">
        <v>641</v>
      </c>
      <c r="J43" s="4" t="s">
        <v>339</v>
      </c>
      <c r="K43" s="4" t="s">
        <v>158</v>
      </c>
      <c r="L43" s="4"/>
      <c r="M43" s="4"/>
      <c r="N43" s="4" t="s">
        <v>656</v>
      </c>
      <c r="O43" s="4"/>
      <c r="P43" s="4"/>
      <c r="Q43" s="4"/>
      <c r="R43" s="4" t="s">
        <v>454</v>
      </c>
      <c r="S43" s="4"/>
      <c r="T43" s="4"/>
      <c r="U43" s="4"/>
      <c r="V43" s="4"/>
      <c r="W43" s="4"/>
      <c r="X43" s="4" t="s">
        <v>690</v>
      </c>
      <c r="Y43" s="4" t="s">
        <v>644</v>
      </c>
      <c r="Z43" s="4" t="s">
        <v>866</v>
      </c>
      <c r="AA43" s="4" t="s">
        <v>96</v>
      </c>
    </row>
    <row r="44" spans="1:27" ht="148.5" x14ac:dyDescent="0.3">
      <c r="A44" s="4" t="s">
        <v>635</v>
      </c>
      <c r="B44" s="4" t="s">
        <v>867</v>
      </c>
      <c r="C44" s="4" t="s">
        <v>637</v>
      </c>
      <c r="D44" s="4" t="s">
        <v>868</v>
      </c>
      <c r="E44" s="4" t="s">
        <v>778</v>
      </c>
      <c r="F44" s="4" t="s">
        <v>336</v>
      </c>
      <c r="G44" s="4"/>
      <c r="H44" s="4"/>
      <c r="I44" s="4" t="s">
        <v>641</v>
      </c>
      <c r="J44" s="4"/>
      <c r="K44" s="4" t="s">
        <v>158</v>
      </c>
      <c r="L44" s="4"/>
      <c r="M44" s="4"/>
      <c r="N44" s="4" t="s">
        <v>656</v>
      </c>
      <c r="O44" s="4"/>
      <c r="P44" s="4"/>
      <c r="Q44" s="4"/>
      <c r="R44" s="4" t="s">
        <v>642</v>
      </c>
      <c r="S44" s="4"/>
      <c r="T44" s="4"/>
      <c r="U44" s="4"/>
      <c r="V44" s="4"/>
      <c r="W44" s="4"/>
      <c r="X44" s="4" t="s">
        <v>869</v>
      </c>
      <c r="Y44" s="4" t="s">
        <v>651</v>
      </c>
      <c r="Z44" s="4" t="s">
        <v>870</v>
      </c>
      <c r="AA44" s="4" t="s">
        <v>97</v>
      </c>
    </row>
    <row r="45" spans="1:27" ht="214.5" x14ac:dyDescent="0.3">
      <c r="A45" s="4" t="s">
        <v>635</v>
      </c>
      <c r="B45" s="4" t="s">
        <v>871</v>
      </c>
      <c r="C45" s="4" t="s">
        <v>637</v>
      </c>
      <c r="D45" s="4" t="s">
        <v>872</v>
      </c>
      <c r="E45" s="4" t="s">
        <v>805</v>
      </c>
      <c r="F45" s="4"/>
      <c r="G45" s="4"/>
      <c r="H45" s="4" t="s">
        <v>298</v>
      </c>
      <c r="I45" s="4" t="s">
        <v>298</v>
      </c>
      <c r="J45" s="4"/>
      <c r="K45" s="4" t="s">
        <v>158</v>
      </c>
      <c r="L45" s="4"/>
      <c r="M45" s="4"/>
      <c r="N45" s="4" t="s">
        <v>656</v>
      </c>
      <c r="O45" s="4"/>
      <c r="P45" s="4"/>
      <c r="Q45" s="4"/>
      <c r="R45" s="4" t="s">
        <v>290</v>
      </c>
      <c r="S45" s="4"/>
      <c r="T45" s="4"/>
      <c r="U45" s="4"/>
      <c r="V45" s="4"/>
      <c r="W45" s="4"/>
      <c r="X45" s="4" t="s">
        <v>873</v>
      </c>
      <c r="Y45" s="4" t="s">
        <v>819</v>
      </c>
      <c r="Z45" s="4" t="s">
        <v>874</v>
      </c>
      <c r="AA45" s="4" t="s">
        <v>98</v>
      </c>
    </row>
    <row r="46" spans="1:27" ht="132" x14ac:dyDescent="0.3">
      <c r="A46" s="4" t="s">
        <v>635</v>
      </c>
      <c r="B46" s="4" t="s">
        <v>875</v>
      </c>
      <c r="C46" s="4" t="s">
        <v>637</v>
      </c>
      <c r="D46" s="4" t="s">
        <v>876</v>
      </c>
      <c r="E46" s="4" t="s">
        <v>778</v>
      </c>
      <c r="F46" s="4" t="s">
        <v>336</v>
      </c>
      <c r="G46" s="4"/>
      <c r="H46" s="4"/>
      <c r="I46" s="4" t="s">
        <v>641</v>
      </c>
      <c r="J46" s="4"/>
      <c r="K46" s="4" t="s">
        <v>158</v>
      </c>
      <c r="L46" s="4"/>
      <c r="M46" s="4"/>
      <c r="N46" s="4" t="s">
        <v>519</v>
      </c>
      <c r="O46" s="4"/>
      <c r="P46" s="4"/>
      <c r="Q46" s="4"/>
      <c r="R46" s="4" t="s">
        <v>657</v>
      </c>
      <c r="S46" s="4"/>
      <c r="T46" s="4"/>
      <c r="U46" s="4"/>
      <c r="V46" s="4"/>
      <c r="W46" s="4"/>
      <c r="X46" s="4" t="s">
        <v>877</v>
      </c>
      <c r="Y46" s="4" t="s">
        <v>644</v>
      </c>
      <c r="Z46" s="4" t="s">
        <v>878</v>
      </c>
      <c r="AA46" s="4" t="s">
        <v>99</v>
      </c>
    </row>
    <row r="47" spans="1:27" ht="132" x14ac:dyDescent="0.3">
      <c r="A47" s="4" t="s">
        <v>635</v>
      </c>
      <c r="B47" s="4" t="s">
        <v>879</v>
      </c>
      <c r="C47" s="4" t="s">
        <v>637</v>
      </c>
      <c r="D47" s="4" t="s">
        <v>880</v>
      </c>
      <c r="E47" s="4" t="s">
        <v>881</v>
      </c>
      <c r="F47" s="4" t="s">
        <v>244</v>
      </c>
      <c r="G47" s="4"/>
      <c r="H47" s="4"/>
      <c r="I47" s="4" t="s">
        <v>641</v>
      </c>
      <c r="J47" s="4"/>
      <c r="K47" s="4" t="s">
        <v>158</v>
      </c>
      <c r="L47" s="4"/>
      <c r="M47" s="4"/>
      <c r="N47" s="4" t="s">
        <v>519</v>
      </c>
      <c r="O47" s="4"/>
      <c r="P47" s="4"/>
      <c r="Q47" s="4"/>
      <c r="R47" s="4" t="s">
        <v>642</v>
      </c>
      <c r="S47" s="4"/>
      <c r="T47" s="4"/>
      <c r="U47" s="4"/>
      <c r="V47" s="4"/>
      <c r="W47" s="4"/>
      <c r="X47" s="4" t="s">
        <v>882</v>
      </c>
      <c r="Y47" s="4" t="s">
        <v>644</v>
      </c>
      <c r="Z47" s="4" t="s">
        <v>883</v>
      </c>
      <c r="AA47" s="4" t="s">
        <v>100</v>
      </c>
    </row>
    <row r="48" spans="1:27" ht="214.5" x14ac:dyDescent="0.3">
      <c r="A48" s="4" t="s">
        <v>635</v>
      </c>
      <c r="B48" s="4" t="s">
        <v>884</v>
      </c>
      <c r="C48" s="4" t="s">
        <v>637</v>
      </c>
      <c r="D48" s="4" t="s">
        <v>885</v>
      </c>
      <c r="E48" s="4" t="s">
        <v>755</v>
      </c>
      <c r="F48" s="4" t="s">
        <v>396</v>
      </c>
      <c r="G48" s="4"/>
      <c r="H48" s="4"/>
      <c r="I48" s="4" t="s">
        <v>641</v>
      </c>
      <c r="J48" s="4" t="s">
        <v>439</v>
      </c>
      <c r="K48" s="4" t="s">
        <v>158</v>
      </c>
      <c r="L48" s="4"/>
      <c r="M48" s="4"/>
      <c r="N48" s="4" t="s">
        <v>656</v>
      </c>
      <c r="O48" s="4"/>
      <c r="P48" s="4"/>
      <c r="Q48" s="4"/>
      <c r="R48" s="4" t="s">
        <v>454</v>
      </c>
      <c r="S48" s="4"/>
      <c r="T48" s="4"/>
      <c r="U48" s="4"/>
      <c r="V48" s="4"/>
      <c r="W48" s="4"/>
      <c r="X48" s="4" t="s">
        <v>886</v>
      </c>
      <c r="Y48" s="4" t="s">
        <v>887</v>
      </c>
      <c r="Z48" s="4" t="s">
        <v>888</v>
      </c>
      <c r="AA48" s="4" t="s">
        <v>101</v>
      </c>
    </row>
    <row r="49" spans="1:27" ht="165" x14ac:dyDescent="0.3">
      <c r="A49" s="4" t="s">
        <v>635</v>
      </c>
      <c r="B49" s="4" t="s">
        <v>889</v>
      </c>
      <c r="C49" s="4" t="s">
        <v>637</v>
      </c>
      <c r="D49" s="4" t="s">
        <v>890</v>
      </c>
      <c r="E49" s="4" t="s">
        <v>655</v>
      </c>
      <c r="F49" s="4" t="s">
        <v>154</v>
      </c>
      <c r="G49" s="4"/>
      <c r="H49" s="4"/>
      <c r="I49" s="4" t="s">
        <v>641</v>
      </c>
      <c r="J49" s="4" t="s">
        <v>324</v>
      </c>
      <c r="K49" s="4" t="s">
        <v>158</v>
      </c>
      <c r="L49" s="4"/>
      <c r="M49" s="4"/>
      <c r="N49" s="4" t="s">
        <v>656</v>
      </c>
      <c r="O49" s="4"/>
      <c r="P49" s="4"/>
      <c r="Q49" s="4"/>
      <c r="R49" s="4" t="s">
        <v>642</v>
      </c>
      <c r="S49" s="4"/>
      <c r="T49" s="4"/>
      <c r="U49" s="4"/>
      <c r="V49" s="4"/>
      <c r="W49" s="4"/>
      <c r="X49" s="4" t="s">
        <v>797</v>
      </c>
      <c r="Y49" s="4" t="s">
        <v>644</v>
      </c>
      <c r="Z49" s="4" t="s">
        <v>891</v>
      </c>
      <c r="AA49" s="4" t="s">
        <v>102</v>
      </c>
    </row>
    <row r="50" spans="1:27" ht="165" x14ac:dyDescent="0.3">
      <c r="A50" s="4" t="s">
        <v>635</v>
      </c>
      <c r="B50" s="4" t="s">
        <v>892</v>
      </c>
      <c r="C50" s="4" t="s">
        <v>637</v>
      </c>
      <c r="D50" s="4" t="s">
        <v>893</v>
      </c>
      <c r="E50" s="4" t="s">
        <v>894</v>
      </c>
      <c r="F50" s="4"/>
      <c r="G50" s="4"/>
      <c r="H50" s="4" t="s">
        <v>236</v>
      </c>
      <c r="I50" s="4" t="s">
        <v>196</v>
      </c>
      <c r="J50" s="4"/>
      <c r="K50" s="4" t="s">
        <v>158</v>
      </c>
      <c r="L50" s="4"/>
      <c r="M50" s="4"/>
      <c r="N50" s="4" t="s">
        <v>649</v>
      </c>
      <c r="O50" s="4"/>
      <c r="P50" s="4"/>
      <c r="Q50" s="4"/>
      <c r="R50" s="4" t="s">
        <v>671</v>
      </c>
      <c r="S50" s="4"/>
      <c r="T50" s="4"/>
      <c r="U50" s="4"/>
      <c r="V50" s="4"/>
      <c r="W50" s="4"/>
      <c r="X50" s="4" t="s">
        <v>788</v>
      </c>
      <c r="Y50" s="4" t="s">
        <v>895</v>
      </c>
      <c r="Z50" s="4" t="s">
        <v>896</v>
      </c>
      <c r="AA50" s="4" t="s">
        <v>103</v>
      </c>
    </row>
    <row r="51" spans="1:27" ht="148.5" x14ac:dyDescent="0.3">
      <c r="A51" s="4" t="s">
        <v>635</v>
      </c>
      <c r="B51" s="4" t="s">
        <v>897</v>
      </c>
      <c r="C51" s="4" t="s">
        <v>637</v>
      </c>
      <c r="D51" s="4" t="s">
        <v>898</v>
      </c>
      <c r="E51" s="4" t="s">
        <v>899</v>
      </c>
      <c r="F51" s="4"/>
      <c r="G51" s="4" t="s">
        <v>155</v>
      </c>
      <c r="H51" s="4"/>
      <c r="I51" s="4" t="s">
        <v>641</v>
      </c>
      <c r="J51" s="4"/>
      <c r="K51" s="4" t="s">
        <v>158</v>
      </c>
      <c r="L51" s="4"/>
      <c r="M51" s="4"/>
      <c r="N51" s="4" t="s">
        <v>649</v>
      </c>
      <c r="O51" s="4"/>
      <c r="P51" s="4"/>
      <c r="Q51" s="4"/>
      <c r="R51" s="4" t="s">
        <v>671</v>
      </c>
      <c r="S51" s="4"/>
      <c r="T51" s="4"/>
      <c r="U51" s="4"/>
      <c r="V51" s="4"/>
      <c r="W51" s="4"/>
      <c r="X51" s="4" t="s">
        <v>756</v>
      </c>
      <c r="Y51" s="4" t="s">
        <v>900</v>
      </c>
      <c r="Z51" s="4" t="s">
        <v>901</v>
      </c>
      <c r="AA51" s="4" t="s">
        <v>104</v>
      </c>
    </row>
    <row r="52" spans="1:27" ht="148.5" x14ac:dyDescent="0.3">
      <c r="A52" s="4" t="s">
        <v>635</v>
      </c>
      <c r="B52" s="4" t="s">
        <v>902</v>
      </c>
      <c r="C52" s="4" t="s">
        <v>637</v>
      </c>
      <c r="D52" s="4" t="s">
        <v>903</v>
      </c>
      <c r="E52" s="4" t="s">
        <v>676</v>
      </c>
      <c r="F52" s="4"/>
      <c r="G52" s="4"/>
      <c r="H52" s="4"/>
      <c r="I52" s="4" t="s">
        <v>387</v>
      </c>
      <c r="J52" s="4"/>
      <c r="K52" s="4" t="s">
        <v>158</v>
      </c>
      <c r="L52" s="4"/>
      <c r="M52" s="4"/>
      <c r="N52" s="4" t="s">
        <v>656</v>
      </c>
      <c r="O52" s="4"/>
      <c r="P52" s="4"/>
      <c r="Q52" s="4"/>
      <c r="R52" s="4" t="s">
        <v>642</v>
      </c>
      <c r="S52" s="4"/>
      <c r="T52" s="4"/>
      <c r="U52" s="4"/>
      <c r="V52" s="4"/>
      <c r="W52" s="4"/>
      <c r="X52" s="4" t="s">
        <v>760</v>
      </c>
      <c r="Y52" s="4" t="s">
        <v>904</v>
      </c>
      <c r="Z52" s="4" t="s">
        <v>905</v>
      </c>
      <c r="AA52" s="4" t="s">
        <v>105</v>
      </c>
    </row>
    <row r="53" spans="1:27" ht="148.5" x14ac:dyDescent="0.3">
      <c r="A53" s="4" t="s">
        <v>635</v>
      </c>
      <c r="B53" s="4" t="s">
        <v>906</v>
      </c>
      <c r="C53" s="4" t="s">
        <v>637</v>
      </c>
      <c r="D53" s="4" t="s">
        <v>907</v>
      </c>
      <c r="E53" s="4" t="s">
        <v>637</v>
      </c>
      <c r="F53" s="4"/>
      <c r="G53" s="4"/>
      <c r="H53" s="4"/>
      <c r="I53" s="4" t="s">
        <v>641</v>
      </c>
      <c r="J53" s="4"/>
      <c r="K53" s="4" t="s">
        <v>158</v>
      </c>
      <c r="L53" s="4"/>
      <c r="M53" s="4"/>
      <c r="N53" s="4" t="s">
        <v>656</v>
      </c>
      <c r="O53" s="4"/>
      <c r="P53" s="4"/>
      <c r="Q53" s="4"/>
      <c r="R53" s="4" t="s">
        <v>671</v>
      </c>
      <c r="S53" s="4"/>
      <c r="T53" s="4"/>
      <c r="U53" s="4"/>
      <c r="V53" s="4"/>
      <c r="W53" s="4"/>
      <c r="X53" s="4" t="s">
        <v>643</v>
      </c>
      <c r="Y53" s="4" t="s">
        <v>908</v>
      </c>
      <c r="Z53" s="4" t="s">
        <v>909</v>
      </c>
      <c r="AA53" s="4" t="s">
        <v>106</v>
      </c>
    </row>
    <row r="54" spans="1:27" ht="181.5" x14ac:dyDescent="0.3">
      <c r="A54" s="4" t="s">
        <v>635</v>
      </c>
      <c r="B54" s="4" t="s">
        <v>910</v>
      </c>
      <c r="C54" s="4" t="s">
        <v>637</v>
      </c>
      <c r="D54" s="4" t="s">
        <v>911</v>
      </c>
      <c r="E54" s="4" t="s">
        <v>912</v>
      </c>
      <c r="F54" s="4" t="s">
        <v>913</v>
      </c>
      <c r="G54" s="4"/>
      <c r="H54" s="4" t="s">
        <v>236</v>
      </c>
      <c r="I54" s="4" t="s">
        <v>171</v>
      </c>
      <c r="J54" s="4" t="s">
        <v>914</v>
      </c>
      <c r="K54" s="4" t="s">
        <v>158</v>
      </c>
      <c r="L54" s="4"/>
      <c r="M54" s="4"/>
      <c r="N54" s="4" t="s">
        <v>567</v>
      </c>
      <c r="O54" s="4"/>
      <c r="P54" s="4"/>
      <c r="Q54" s="4"/>
      <c r="R54" s="4"/>
      <c r="S54" s="4"/>
      <c r="T54" s="4"/>
      <c r="U54" s="4"/>
      <c r="V54" s="4"/>
      <c r="W54" s="4"/>
      <c r="X54" s="4" t="s">
        <v>915</v>
      </c>
      <c r="Y54" s="4" t="s">
        <v>916</v>
      </c>
      <c r="Z54" s="4" t="s">
        <v>917</v>
      </c>
      <c r="AA54" s="4" t="s">
        <v>107</v>
      </c>
    </row>
    <row r="55" spans="1:27" ht="132" x14ac:dyDescent="0.3">
      <c r="A55" s="4" t="s">
        <v>635</v>
      </c>
      <c r="B55" s="4" t="s">
        <v>918</v>
      </c>
      <c r="C55" s="4" t="s">
        <v>637</v>
      </c>
      <c r="D55" s="4" t="s">
        <v>919</v>
      </c>
      <c r="E55" s="4" t="s">
        <v>920</v>
      </c>
      <c r="F55" s="4"/>
      <c r="G55" s="4" t="s">
        <v>155</v>
      </c>
      <c r="H55" s="4"/>
      <c r="I55" s="4" t="s">
        <v>641</v>
      </c>
      <c r="J55" s="4"/>
      <c r="K55" s="4" t="s">
        <v>158</v>
      </c>
      <c r="L55" s="4"/>
      <c r="M55" s="4"/>
      <c r="N55" s="4" t="s">
        <v>567</v>
      </c>
      <c r="O55" s="4"/>
      <c r="P55" s="4"/>
      <c r="Q55" s="4"/>
      <c r="R55" s="4" t="s">
        <v>671</v>
      </c>
      <c r="S55" s="4"/>
      <c r="T55" s="4"/>
      <c r="U55" s="4"/>
      <c r="V55" s="4"/>
      <c r="W55" s="4"/>
      <c r="X55" s="4" t="s">
        <v>921</v>
      </c>
      <c r="Y55" s="4" t="s">
        <v>922</v>
      </c>
      <c r="Z55" s="4" t="s">
        <v>923</v>
      </c>
      <c r="AA55" s="4" t="s">
        <v>108</v>
      </c>
    </row>
    <row r="56" spans="1:27" ht="165" x14ac:dyDescent="0.3">
      <c r="A56" s="4" t="s">
        <v>635</v>
      </c>
      <c r="B56" s="4" t="s">
        <v>924</v>
      </c>
      <c r="C56" s="4" t="s">
        <v>637</v>
      </c>
      <c r="D56" s="4" t="s">
        <v>925</v>
      </c>
      <c r="E56" s="4" t="s">
        <v>926</v>
      </c>
      <c r="F56" s="4" t="s">
        <v>154</v>
      </c>
      <c r="G56" s="4"/>
      <c r="H56" s="4" t="s">
        <v>236</v>
      </c>
      <c r="I56" s="4" t="s">
        <v>196</v>
      </c>
      <c r="J56" s="4" t="s">
        <v>324</v>
      </c>
      <c r="K56" s="4" t="s">
        <v>158</v>
      </c>
      <c r="L56" s="4"/>
      <c r="M56" s="4"/>
      <c r="N56" s="4" t="s">
        <v>656</v>
      </c>
      <c r="O56" s="4"/>
      <c r="P56" s="4"/>
      <c r="Q56" s="4"/>
      <c r="R56" s="4" t="s">
        <v>454</v>
      </c>
      <c r="S56" s="4"/>
      <c r="T56" s="4"/>
      <c r="U56" s="4"/>
      <c r="V56" s="4"/>
      <c r="W56" s="4"/>
      <c r="X56" s="4" t="s">
        <v>829</v>
      </c>
      <c r="Y56" s="4" t="s">
        <v>927</v>
      </c>
      <c r="Z56" s="4" t="s">
        <v>928</v>
      </c>
      <c r="AA56" s="4" t="s">
        <v>109</v>
      </c>
    </row>
    <row r="57" spans="1:27" ht="132" x14ac:dyDescent="0.3">
      <c r="A57" s="4" t="s">
        <v>635</v>
      </c>
      <c r="B57" s="4" t="s">
        <v>929</v>
      </c>
      <c r="C57" s="4" t="s">
        <v>637</v>
      </c>
      <c r="D57" s="4" t="s">
        <v>930</v>
      </c>
      <c r="E57" s="4" t="s">
        <v>894</v>
      </c>
      <c r="F57" s="4"/>
      <c r="G57" s="4"/>
      <c r="H57" s="4" t="s">
        <v>236</v>
      </c>
      <c r="I57" s="4" t="s">
        <v>196</v>
      </c>
      <c r="J57" s="4"/>
      <c r="K57" s="4" t="s">
        <v>158</v>
      </c>
      <c r="L57" s="4"/>
      <c r="M57" s="4"/>
      <c r="N57" s="4" t="s">
        <v>656</v>
      </c>
      <c r="O57" s="4"/>
      <c r="P57" s="4"/>
      <c r="Q57" s="4"/>
      <c r="R57" s="4" t="s">
        <v>454</v>
      </c>
      <c r="S57" s="4"/>
      <c r="T57" s="4"/>
      <c r="U57" s="4"/>
      <c r="V57" s="4"/>
      <c r="W57" s="4"/>
      <c r="X57" s="4" t="s">
        <v>664</v>
      </c>
      <c r="Y57" s="4" t="s">
        <v>931</v>
      </c>
      <c r="Z57" s="4" t="s">
        <v>932</v>
      </c>
      <c r="AA57" s="4" t="s">
        <v>110</v>
      </c>
    </row>
    <row r="58" spans="1:27" ht="132" x14ac:dyDescent="0.3">
      <c r="A58" s="4" t="s">
        <v>635</v>
      </c>
      <c r="B58" s="4" t="s">
        <v>933</v>
      </c>
      <c r="C58" s="4" t="s">
        <v>637</v>
      </c>
      <c r="D58" s="4" t="s">
        <v>934</v>
      </c>
      <c r="E58" s="4" t="s">
        <v>787</v>
      </c>
      <c r="F58" s="4"/>
      <c r="G58" s="4"/>
      <c r="H58" s="4"/>
      <c r="I58" s="4" t="s">
        <v>641</v>
      </c>
      <c r="J58" s="4"/>
      <c r="K58" s="4" t="s">
        <v>158</v>
      </c>
      <c r="L58" s="4"/>
      <c r="M58" s="4"/>
      <c r="N58" s="4" t="s">
        <v>656</v>
      </c>
      <c r="O58" s="4"/>
      <c r="P58" s="4"/>
      <c r="Q58" s="4"/>
      <c r="R58" s="4" t="s">
        <v>671</v>
      </c>
      <c r="S58" s="4"/>
      <c r="T58" s="4"/>
      <c r="U58" s="4"/>
      <c r="V58" s="4"/>
      <c r="W58" s="4"/>
      <c r="X58" s="4" t="s">
        <v>773</v>
      </c>
      <c r="Y58" s="4" t="s">
        <v>644</v>
      </c>
      <c r="Z58" s="4" t="s">
        <v>935</v>
      </c>
      <c r="AA58" s="4" t="s">
        <v>111</v>
      </c>
    </row>
    <row r="59" spans="1:27" ht="148.5" x14ac:dyDescent="0.3">
      <c r="A59" s="4" t="s">
        <v>635</v>
      </c>
      <c r="B59" s="4" t="s">
        <v>936</v>
      </c>
      <c r="C59" s="4" t="s">
        <v>637</v>
      </c>
      <c r="D59" s="4" t="s">
        <v>937</v>
      </c>
      <c r="E59" s="4" t="s">
        <v>787</v>
      </c>
      <c r="F59" s="4"/>
      <c r="G59" s="4"/>
      <c r="H59" s="4"/>
      <c r="I59" s="4" t="s">
        <v>641</v>
      </c>
      <c r="J59" s="4"/>
      <c r="K59" s="4" t="s">
        <v>158</v>
      </c>
      <c r="L59" s="4"/>
      <c r="M59" s="4"/>
      <c r="N59" s="4" t="s">
        <v>519</v>
      </c>
      <c r="O59" s="4"/>
      <c r="P59" s="4"/>
      <c r="Q59" s="4"/>
      <c r="R59" s="4" t="s">
        <v>642</v>
      </c>
      <c r="S59" s="4"/>
      <c r="T59" s="4"/>
      <c r="U59" s="4"/>
      <c r="V59" s="4"/>
      <c r="W59" s="4"/>
      <c r="X59" s="4" t="s">
        <v>745</v>
      </c>
      <c r="Y59" s="4" t="s">
        <v>644</v>
      </c>
      <c r="Z59" s="4" t="s">
        <v>938</v>
      </c>
      <c r="AA59" s="4" t="s">
        <v>112</v>
      </c>
    </row>
    <row r="60" spans="1:27" ht="165" x14ac:dyDescent="0.3">
      <c r="A60" s="4" t="s">
        <v>635</v>
      </c>
      <c r="B60" s="4" t="s">
        <v>939</v>
      </c>
      <c r="C60" s="4" t="s">
        <v>637</v>
      </c>
      <c r="D60" s="4" t="s">
        <v>940</v>
      </c>
      <c r="E60" s="4" t="s">
        <v>941</v>
      </c>
      <c r="F60" s="4"/>
      <c r="G60" s="4"/>
      <c r="H60" s="4" t="s">
        <v>942</v>
      </c>
      <c r="I60" s="4" t="s">
        <v>943</v>
      </c>
      <c r="J60" s="4"/>
      <c r="K60" s="4" t="s">
        <v>158</v>
      </c>
      <c r="L60" s="4"/>
      <c r="M60" s="4"/>
      <c r="N60" s="4" t="s">
        <v>656</v>
      </c>
      <c r="O60" s="4"/>
      <c r="P60" s="4"/>
      <c r="Q60" s="4"/>
      <c r="R60" s="4" t="s">
        <v>290</v>
      </c>
      <c r="S60" s="4"/>
      <c r="T60" s="4"/>
      <c r="U60" s="4"/>
      <c r="V60" s="4"/>
      <c r="W60" s="4"/>
      <c r="X60" s="4" t="s">
        <v>658</v>
      </c>
      <c r="Y60" s="4" t="s">
        <v>944</v>
      </c>
      <c r="Z60" s="4" t="s">
        <v>945</v>
      </c>
      <c r="AA60" s="4" t="s">
        <v>113</v>
      </c>
    </row>
    <row r="61" spans="1:27" ht="148.5" x14ac:dyDescent="0.3">
      <c r="A61" s="4" t="s">
        <v>635</v>
      </c>
      <c r="B61" s="4" t="s">
        <v>946</v>
      </c>
      <c r="C61" s="4" t="s">
        <v>637</v>
      </c>
      <c r="D61" s="4" t="s">
        <v>947</v>
      </c>
      <c r="E61" s="4" t="s">
        <v>881</v>
      </c>
      <c r="F61" s="4" t="s">
        <v>244</v>
      </c>
      <c r="G61" s="4"/>
      <c r="H61" s="4"/>
      <c r="I61" s="4" t="s">
        <v>641</v>
      </c>
      <c r="J61" s="4"/>
      <c r="K61" s="4" t="s">
        <v>158</v>
      </c>
      <c r="L61" s="4"/>
      <c r="M61" s="4"/>
      <c r="N61" s="4" t="s">
        <v>656</v>
      </c>
      <c r="O61" s="4"/>
      <c r="P61" s="4"/>
      <c r="Q61" s="4"/>
      <c r="R61" s="4" t="s">
        <v>657</v>
      </c>
      <c r="S61" s="4"/>
      <c r="T61" s="4"/>
      <c r="U61" s="4"/>
      <c r="V61" s="4"/>
      <c r="W61" s="4"/>
      <c r="X61" s="4" t="s">
        <v>695</v>
      </c>
      <c r="Y61" s="4" t="s">
        <v>948</v>
      </c>
      <c r="Z61" s="4" t="s">
        <v>949</v>
      </c>
      <c r="AA61" s="4" t="s">
        <v>114</v>
      </c>
    </row>
    <row r="62" spans="1:27" ht="148.5" x14ac:dyDescent="0.3">
      <c r="A62" s="4" t="s">
        <v>635</v>
      </c>
      <c r="B62" s="4" t="s">
        <v>950</v>
      </c>
      <c r="C62" s="4" t="s">
        <v>637</v>
      </c>
      <c r="D62" s="4" t="s">
        <v>951</v>
      </c>
      <c r="E62" s="4" t="s">
        <v>952</v>
      </c>
      <c r="F62" s="4"/>
      <c r="G62" s="4" t="s">
        <v>256</v>
      </c>
      <c r="H62" s="4" t="s">
        <v>256</v>
      </c>
      <c r="I62" s="4" t="s">
        <v>257</v>
      </c>
      <c r="J62" s="4"/>
      <c r="K62" s="4" t="s">
        <v>158</v>
      </c>
      <c r="L62" s="4"/>
      <c r="M62" s="4"/>
      <c r="N62" s="4" t="s">
        <v>649</v>
      </c>
      <c r="O62" s="4"/>
      <c r="P62" s="4"/>
      <c r="Q62" s="4"/>
      <c r="R62" s="4" t="s">
        <v>642</v>
      </c>
      <c r="S62" s="4"/>
      <c r="T62" s="4"/>
      <c r="U62" s="4"/>
      <c r="V62" s="4"/>
      <c r="W62" s="4"/>
      <c r="X62" s="4" t="s">
        <v>700</v>
      </c>
      <c r="Y62" s="4" t="s">
        <v>953</v>
      </c>
      <c r="Z62" s="4" t="s">
        <v>954</v>
      </c>
      <c r="AA62" s="4" t="s">
        <v>115</v>
      </c>
    </row>
    <row r="63" spans="1:27" ht="165" x14ac:dyDescent="0.3">
      <c r="A63" s="4" t="s">
        <v>635</v>
      </c>
      <c r="B63" s="4" t="s">
        <v>955</v>
      </c>
      <c r="C63" s="4" t="s">
        <v>637</v>
      </c>
      <c r="D63" s="4" t="s">
        <v>956</v>
      </c>
      <c r="E63" s="4" t="s">
        <v>957</v>
      </c>
      <c r="F63" s="4"/>
      <c r="G63" s="4" t="s">
        <v>256</v>
      </c>
      <c r="H63" s="4" t="s">
        <v>958</v>
      </c>
      <c r="I63" s="4" t="s">
        <v>257</v>
      </c>
      <c r="J63" s="4"/>
      <c r="K63" s="4" t="s">
        <v>158</v>
      </c>
      <c r="L63" s="4"/>
      <c r="M63" s="4"/>
      <c r="N63" s="4" t="s">
        <v>519</v>
      </c>
      <c r="O63" s="4"/>
      <c r="P63" s="4"/>
      <c r="Q63" s="4"/>
      <c r="R63" s="4" t="s">
        <v>671</v>
      </c>
      <c r="S63" s="4"/>
      <c r="T63" s="4"/>
      <c r="U63" s="4"/>
      <c r="V63" s="4"/>
      <c r="W63" s="4"/>
      <c r="X63" s="4" t="s">
        <v>690</v>
      </c>
      <c r="Y63" s="4" t="s">
        <v>953</v>
      </c>
      <c r="Z63" s="4" t="s">
        <v>959</v>
      </c>
      <c r="AA63" s="4" t="s">
        <v>116</v>
      </c>
    </row>
    <row r="64" spans="1:27" ht="181.5" x14ac:dyDescent="0.3">
      <c r="A64" s="4" t="s">
        <v>635</v>
      </c>
      <c r="B64" s="4" t="s">
        <v>960</v>
      </c>
      <c r="C64" s="4" t="s">
        <v>637</v>
      </c>
      <c r="D64" s="4" t="s">
        <v>961</v>
      </c>
      <c r="E64" s="4" t="s">
        <v>962</v>
      </c>
      <c r="F64" s="4" t="s">
        <v>963</v>
      </c>
      <c r="G64" s="4"/>
      <c r="H64" s="4"/>
      <c r="I64" s="4" t="s">
        <v>641</v>
      </c>
      <c r="J64" s="4"/>
      <c r="K64" s="4" t="s">
        <v>158</v>
      </c>
      <c r="L64" s="4"/>
      <c r="M64" s="4"/>
      <c r="N64" s="4" t="s">
        <v>519</v>
      </c>
      <c r="O64" s="4"/>
      <c r="P64" s="4"/>
      <c r="Q64" s="4"/>
      <c r="R64" s="4" t="s">
        <v>671</v>
      </c>
      <c r="S64" s="4"/>
      <c r="T64" s="4"/>
      <c r="U64" s="4"/>
      <c r="V64" s="4"/>
      <c r="W64" s="4"/>
      <c r="X64" s="4" t="s">
        <v>672</v>
      </c>
      <c r="Y64" s="4" t="s">
        <v>644</v>
      </c>
      <c r="Z64" s="4" t="s">
        <v>964</v>
      </c>
      <c r="AA64" s="4" t="s">
        <v>117</v>
      </c>
    </row>
    <row r="65" spans="1:27" ht="214.5" x14ac:dyDescent="0.3">
      <c r="A65" s="4" t="s">
        <v>635</v>
      </c>
      <c r="B65" s="4" t="s">
        <v>965</v>
      </c>
      <c r="C65" s="4" t="s">
        <v>637</v>
      </c>
      <c r="D65" s="4" t="s">
        <v>966</v>
      </c>
      <c r="E65" s="4" t="s">
        <v>967</v>
      </c>
      <c r="F65" s="4"/>
      <c r="G65" s="4" t="s">
        <v>155</v>
      </c>
      <c r="H65" s="4" t="s">
        <v>236</v>
      </c>
      <c r="I65" s="4" t="s">
        <v>196</v>
      </c>
      <c r="J65" s="4"/>
      <c r="K65" s="4" t="s">
        <v>158</v>
      </c>
      <c r="L65" s="4"/>
      <c r="M65" s="4"/>
      <c r="N65" s="4" t="s">
        <v>656</v>
      </c>
      <c r="O65" s="4"/>
      <c r="P65" s="4"/>
      <c r="Q65" s="4"/>
      <c r="R65" s="4" t="s">
        <v>290</v>
      </c>
      <c r="S65" s="4"/>
      <c r="T65" s="4"/>
      <c r="U65" s="4"/>
      <c r="V65" s="4"/>
      <c r="W65" s="4"/>
      <c r="X65" s="4" t="s">
        <v>843</v>
      </c>
      <c r="Y65" s="4" t="s">
        <v>968</v>
      </c>
      <c r="Z65" s="4" t="s">
        <v>969</v>
      </c>
      <c r="AA65" s="4" t="s">
        <v>118</v>
      </c>
    </row>
    <row r="66" spans="1:27" ht="181.5" x14ac:dyDescent="0.3">
      <c r="A66" s="4" t="s">
        <v>635</v>
      </c>
      <c r="B66" s="4" t="s">
        <v>970</v>
      </c>
      <c r="C66" s="4" t="s">
        <v>637</v>
      </c>
      <c r="D66" s="4" t="s">
        <v>971</v>
      </c>
      <c r="E66" s="4" t="s">
        <v>972</v>
      </c>
      <c r="F66" s="4"/>
      <c r="G66" s="4" t="s">
        <v>155</v>
      </c>
      <c r="H66" s="4"/>
      <c r="I66" s="4" t="s">
        <v>641</v>
      </c>
      <c r="J66" s="4"/>
      <c r="K66" s="4" t="s">
        <v>158</v>
      </c>
      <c r="L66" s="4"/>
      <c r="M66" s="4"/>
      <c r="N66" s="4" t="s">
        <v>649</v>
      </c>
      <c r="O66" s="4"/>
      <c r="P66" s="4"/>
      <c r="Q66" s="4"/>
      <c r="R66" s="4" t="s">
        <v>454</v>
      </c>
      <c r="S66" s="4"/>
      <c r="T66" s="4"/>
      <c r="U66" s="4"/>
      <c r="V66" s="4"/>
      <c r="W66" s="4"/>
      <c r="X66" s="4" t="s">
        <v>973</v>
      </c>
      <c r="Y66" s="4" t="s">
        <v>974</v>
      </c>
      <c r="Z66" s="4" t="s">
        <v>975</v>
      </c>
      <c r="AA66" s="4" t="s">
        <v>119</v>
      </c>
    </row>
    <row r="67" spans="1:27" ht="330" x14ac:dyDescent="0.3">
      <c r="A67" s="4" t="s">
        <v>635</v>
      </c>
      <c r="B67" s="4" t="s">
        <v>976</v>
      </c>
      <c r="C67" s="4" t="s">
        <v>637</v>
      </c>
      <c r="D67" s="4" t="s">
        <v>977</v>
      </c>
      <c r="E67" s="4" t="s">
        <v>637</v>
      </c>
      <c r="F67" s="4"/>
      <c r="G67" s="4"/>
      <c r="H67" s="4"/>
      <c r="I67" s="4" t="s">
        <v>641</v>
      </c>
      <c r="J67" s="4"/>
      <c r="K67" s="4" t="s">
        <v>158</v>
      </c>
      <c r="L67" s="4"/>
      <c r="M67" s="4"/>
      <c r="N67" s="4" t="s">
        <v>649</v>
      </c>
      <c r="O67" s="4"/>
      <c r="P67" s="4"/>
      <c r="Q67" s="4"/>
      <c r="R67" s="4" t="s">
        <v>671</v>
      </c>
      <c r="S67" s="4"/>
      <c r="T67" s="4"/>
      <c r="U67" s="4"/>
      <c r="V67" s="4"/>
      <c r="W67" s="4"/>
      <c r="X67" s="4" t="s">
        <v>978</v>
      </c>
      <c r="Y67" s="4" t="s">
        <v>979</v>
      </c>
      <c r="Z67" s="4" t="s">
        <v>980</v>
      </c>
      <c r="AA67" s="4" t="s">
        <v>120</v>
      </c>
    </row>
    <row r="68" spans="1:27" ht="247.5" x14ac:dyDescent="0.3">
      <c r="A68" s="4" t="s">
        <v>635</v>
      </c>
      <c r="B68" s="4" t="s">
        <v>981</v>
      </c>
      <c r="C68" s="4" t="s">
        <v>637</v>
      </c>
      <c r="D68" s="4" t="s">
        <v>982</v>
      </c>
      <c r="E68" s="4" t="s">
        <v>972</v>
      </c>
      <c r="F68" s="4"/>
      <c r="G68" s="4" t="s">
        <v>155</v>
      </c>
      <c r="H68" s="4"/>
      <c r="I68" s="4" t="s">
        <v>641</v>
      </c>
      <c r="J68" s="4"/>
      <c r="K68" s="4" t="s">
        <v>158</v>
      </c>
      <c r="L68" s="4"/>
      <c r="M68" s="4"/>
      <c r="N68" s="4" t="s">
        <v>649</v>
      </c>
      <c r="O68" s="4"/>
      <c r="P68" s="4"/>
      <c r="Q68" s="4"/>
      <c r="R68" s="4" t="s">
        <v>454</v>
      </c>
      <c r="S68" s="4"/>
      <c r="T68" s="4"/>
      <c r="U68" s="4"/>
      <c r="V68" s="4"/>
      <c r="W68" s="4"/>
      <c r="X68" s="4" t="s">
        <v>983</v>
      </c>
      <c r="Y68" s="4" t="s">
        <v>984</v>
      </c>
      <c r="Z68" s="4" t="s">
        <v>985</v>
      </c>
      <c r="AA68" s="4" t="s">
        <v>121</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defaultRowHeight="16.5" x14ac:dyDescent="0.3"/>
  <cols>
    <col min="1" max="2" width="28" customWidth="1"/>
    <col min="3" max="3" width="50" customWidth="1"/>
    <col min="4" max="4" width="40" customWidth="1"/>
  </cols>
  <sheetData>
    <row r="1" spans="1:4" x14ac:dyDescent="0.3">
      <c r="A1" s="5" t="s">
        <v>986</v>
      </c>
      <c r="B1" s="5" t="s">
        <v>987</v>
      </c>
      <c r="C1" s="5" t="s">
        <v>988</v>
      </c>
      <c r="D1" s="5" t="s">
        <v>989</v>
      </c>
    </row>
    <row r="2" spans="1:4" x14ac:dyDescent="0.3">
      <c r="A2" s="1" t="s">
        <v>990</v>
      </c>
      <c r="B2" s="1">
        <v>55</v>
      </c>
      <c r="C2" s="1" t="s">
        <v>991</v>
      </c>
      <c r="D2" s="1"/>
    </row>
    <row r="3" spans="1:4" x14ac:dyDescent="0.3">
      <c r="A3" s="1" t="s">
        <v>992</v>
      </c>
      <c r="B3" s="1">
        <v>67</v>
      </c>
      <c r="C3" s="1" t="s">
        <v>993</v>
      </c>
      <c r="D3" s="1"/>
    </row>
    <row r="4" spans="1:4" x14ac:dyDescent="0.3">
      <c r="A4" s="1" t="s">
        <v>994</v>
      </c>
      <c r="B4" s="1" t="s">
        <v>995</v>
      </c>
      <c r="C4" s="1" t="s">
        <v>996</v>
      </c>
      <c r="D4" s="1"/>
    </row>
    <row r="5" spans="1:4" x14ac:dyDescent="0.3">
      <c r="A5" s="1" t="s">
        <v>997</v>
      </c>
      <c r="B5" s="1" t="s">
        <v>998</v>
      </c>
      <c r="C5" s="1" t="s">
        <v>999</v>
      </c>
      <c r="D5" s="1"/>
    </row>
    <row r="6" spans="1:4" x14ac:dyDescent="0.3">
      <c r="A6" s="1" t="s">
        <v>997</v>
      </c>
      <c r="B6" s="1" t="s">
        <v>1000</v>
      </c>
      <c r="C6" s="1" t="s">
        <v>1001</v>
      </c>
      <c r="D6" s="1"/>
    </row>
    <row r="7" spans="1:4" x14ac:dyDescent="0.3">
      <c r="A7" s="1" t="s">
        <v>1002</v>
      </c>
      <c r="B7" s="1" t="s">
        <v>1003</v>
      </c>
      <c r="C7" s="1" t="s">
        <v>1004</v>
      </c>
      <c r="D7" s="1" t="s">
        <v>1005</v>
      </c>
    </row>
    <row r="8" spans="1:4" ht="33" x14ac:dyDescent="0.3">
      <c r="A8" s="1" t="s">
        <v>1006</v>
      </c>
      <c r="B8" s="1" t="s">
        <v>152</v>
      </c>
      <c r="C8" s="1" t="s">
        <v>1007</v>
      </c>
      <c r="D8" s="1"/>
    </row>
    <row r="9" spans="1:4" ht="33" x14ac:dyDescent="0.3">
      <c r="A9" s="1" t="s">
        <v>1006</v>
      </c>
      <c r="B9" s="1" t="s">
        <v>681</v>
      </c>
      <c r="C9" s="1" t="s">
        <v>1008</v>
      </c>
      <c r="D9" s="1"/>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6"/>
  <sheetViews>
    <sheetView workbookViewId="0"/>
  </sheetViews>
  <sheetFormatPr defaultRowHeight="16.5" x14ac:dyDescent="0.3"/>
  <cols>
    <col min="1" max="3" width="10" customWidth="1"/>
    <col min="4" max="4" width="24" customWidth="1"/>
    <col min="5" max="5" width="30" customWidth="1"/>
    <col min="9" max="9" width="24" customWidth="1"/>
    <col min="25" max="25" width="45" customWidth="1"/>
    <col min="26" max="26" width="50" customWidth="1"/>
    <col min="27" max="27" width="55" customWidth="1"/>
    <col min="28" max="28" width="28" customWidth="1"/>
    <col min="29" max="29" width="30" customWidth="1"/>
    <col min="30" max="30" width="55" customWidth="1"/>
  </cols>
  <sheetData>
    <row r="1" spans="1:30" ht="66" x14ac:dyDescent="0.3">
      <c r="A1" s="6" t="s">
        <v>122</v>
      </c>
      <c r="B1" s="6" t="s">
        <v>123</v>
      </c>
      <c r="C1" s="6" t="s">
        <v>124</v>
      </c>
      <c r="D1" s="6" t="s">
        <v>125</v>
      </c>
      <c r="E1" s="6" t="s">
        <v>126</v>
      </c>
      <c r="F1" s="6" t="s">
        <v>127</v>
      </c>
      <c r="G1" s="6" t="s">
        <v>128</v>
      </c>
      <c r="H1" s="6" t="s">
        <v>129</v>
      </c>
      <c r="I1" s="6" t="s">
        <v>130</v>
      </c>
      <c r="J1" s="6" t="s">
        <v>131</v>
      </c>
      <c r="K1" s="6" t="s">
        <v>132</v>
      </c>
      <c r="L1" s="6" t="s">
        <v>133</v>
      </c>
      <c r="M1" s="6" t="s">
        <v>134</v>
      </c>
      <c r="N1" s="6" t="s">
        <v>135</v>
      </c>
      <c r="O1" s="6" t="s">
        <v>136</v>
      </c>
      <c r="P1" s="6" t="s">
        <v>137</v>
      </c>
      <c r="Q1" s="6" t="s">
        <v>138</v>
      </c>
      <c r="R1" s="6" t="s">
        <v>139</v>
      </c>
      <c r="S1" s="6" t="s">
        <v>140</v>
      </c>
      <c r="T1" s="6" t="s">
        <v>141</v>
      </c>
      <c r="U1" s="6" t="s">
        <v>142</v>
      </c>
      <c r="V1" s="6" t="s">
        <v>143</v>
      </c>
      <c r="W1" s="6" t="s">
        <v>144</v>
      </c>
      <c r="X1" s="6" t="s">
        <v>145</v>
      </c>
      <c r="Y1" s="6" t="s">
        <v>146</v>
      </c>
      <c r="Z1" s="6" t="s">
        <v>147</v>
      </c>
      <c r="AA1" s="6" t="s">
        <v>148</v>
      </c>
      <c r="AB1" s="6" t="s">
        <v>1009</v>
      </c>
      <c r="AC1" s="6" t="s">
        <v>1010</v>
      </c>
      <c r="AD1" s="6" t="s">
        <v>1011</v>
      </c>
    </row>
    <row r="2" spans="1:30" ht="66" x14ac:dyDescent="0.3">
      <c r="A2" s="1" t="s">
        <v>149</v>
      </c>
      <c r="B2" s="1" t="s">
        <v>150</v>
      </c>
      <c r="C2" s="1" t="s">
        <v>151</v>
      </c>
      <c r="D2" s="1" t="s">
        <v>152</v>
      </c>
      <c r="E2" s="1" t="s">
        <v>153</v>
      </c>
      <c r="F2" s="1" t="s">
        <v>154</v>
      </c>
      <c r="G2" s="1" t="s">
        <v>155</v>
      </c>
      <c r="H2" s="1" t="s">
        <v>156</v>
      </c>
      <c r="I2" s="1" t="s">
        <v>157</v>
      </c>
      <c r="J2" s="1"/>
      <c r="K2" s="1" t="s">
        <v>158</v>
      </c>
      <c r="L2" s="1"/>
      <c r="M2" s="1" t="s">
        <v>159</v>
      </c>
      <c r="N2" s="1"/>
      <c r="O2" s="1" t="s">
        <v>160</v>
      </c>
      <c r="P2" s="1" t="s">
        <v>161</v>
      </c>
      <c r="Q2" s="1" t="s">
        <v>162</v>
      </c>
      <c r="R2" s="1" t="s">
        <v>163</v>
      </c>
      <c r="S2" s="1"/>
      <c r="T2" s="1"/>
      <c r="U2" s="1"/>
      <c r="V2" s="1"/>
      <c r="W2" s="1"/>
      <c r="X2" s="1"/>
      <c r="Y2" s="1" t="s">
        <v>1012</v>
      </c>
      <c r="Z2" s="1" t="s">
        <v>1013</v>
      </c>
      <c r="AA2" s="1" t="s">
        <v>1014</v>
      </c>
      <c r="AB2" s="1" t="s">
        <v>1015</v>
      </c>
      <c r="AC2" s="1" t="s">
        <v>1016</v>
      </c>
      <c r="AD2" s="1" t="s">
        <v>1017</v>
      </c>
    </row>
    <row r="3" spans="1:30" ht="66" x14ac:dyDescent="0.3">
      <c r="A3" s="1" t="s">
        <v>149</v>
      </c>
      <c r="B3" s="1" t="s">
        <v>166</v>
      </c>
      <c r="C3" s="1" t="s">
        <v>151</v>
      </c>
      <c r="D3" s="1" t="s">
        <v>167</v>
      </c>
      <c r="E3" s="1" t="s">
        <v>168</v>
      </c>
      <c r="F3" s="1"/>
      <c r="G3" s="1" t="s">
        <v>169</v>
      </c>
      <c r="H3" s="1" t="s">
        <v>170</v>
      </c>
      <c r="I3" s="1" t="s">
        <v>171</v>
      </c>
      <c r="J3" s="1" t="s">
        <v>172</v>
      </c>
      <c r="K3" s="1" t="s">
        <v>158</v>
      </c>
      <c r="L3" s="1" t="s">
        <v>173</v>
      </c>
      <c r="M3" s="1"/>
      <c r="N3" s="1"/>
      <c r="O3" s="1"/>
      <c r="P3" s="1"/>
      <c r="Q3" s="1"/>
      <c r="R3" s="1" t="s">
        <v>174</v>
      </c>
      <c r="S3" s="1" t="s">
        <v>175</v>
      </c>
      <c r="T3" s="1" t="s">
        <v>176</v>
      </c>
      <c r="U3" s="1" t="s">
        <v>177</v>
      </c>
      <c r="V3" s="1" t="s">
        <v>178</v>
      </c>
      <c r="W3" s="1"/>
      <c r="X3" s="1"/>
      <c r="Y3" s="1" t="s">
        <v>1018</v>
      </c>
      <c r="Z3" s="1" t="s">
        <v>1019</v>
      </c>
      <c r="AA3" s="1" t="s">
        <v>1020</v>
      </c>
      <c r="AB3" s="1" t="s">
        <v>1021</v>
      </c>
      <c r="AC3" s="1" t="s">
        <v>1022</v>
      </c>
      <c r="AD3" s="1" t="s">
        <v>1023</v>
      </c>
    </row>
    <row r="4" spans="1:30" ht="66" x14ac:dyDescent="0.3">
      <c r="A4" s="1" t="s">
        <v>149</v>
      </c>
      <c r="B4" s="1" t="s">
        <v>181</v>
      </c>
      <c r="C4" s="1" t="s">
        <v>151</v>
      </c>
      <c r="D4" s="1" t="s">
        <v>182</v>
      </c>
      <c r="E4" s="1" t="s">
        <v>183</v>
      </c>
      <c r="F4" s="1" t="s">
        <v>184</v>
      </c>
      <c r="G4" s="1" t="s">
        <v>155</v>
      </c>
      <c r="H4" s="1" t="s">
        <v>185</v>
      </c>
      <c r="I4" s="1" t="s">
        <v>186</v>
      </c>
      <c r="J4" s="1"/>
      <c r="K4" s="1" t="s">
        <v>158</v>
      </c>
      <c r="L4" s="1" t="s">
        <v>187</v>
      </c>
      <c r="M4" s="1"/>
      <c r="N4" s="1"/>
      <c r="O4" s="1"/>
      <c r="P4" s="1"/>
      <c r="Q4" s="1" t="s">
        <v>188</v>
      </c>
      <c r="R4" s="1" t="s">
        <v>189</v>
      </c>
      <c r="S4" s="1"/>
      <c r="T4" s="1"/>
      <c r="U4" s="1" t="s">
        <v>190</v>
      </c>
      <c r="V4" s="1"/>
      <c r="W4" s="1"/>
      <c r="X4" s="1"/>
      <c r="Y4" s="1" t="s">
        <v>1024</v>
      </c>
      <c r="Z4" s="1" t="s">
        <v>1025</v>
      </c>
      <c r="AA4" s="1" t="s">
        <v>1026</v>
      </c>
      <c r="AB4" s="1" t="s">
        <v>1027</v>
      </c>
      <c r="AC4" s="1" t="s">
        <v>1028</v>
      </c>
      <c r="AD4" s="1" t="s">
        <v>1029</v>
      </c>
    </row>
    <row r="5" spans="1:30" ht="82.5" x14ac:dyDescent="0.3">
      <c r="A5" s="1" t="s">
        <v>149</v>
      </c>
      <c r="B5" s="1" t="s">
        <v>193</v>
      </c>
      <c r="C5" s="1" t="s">
        <v>151</v>
      </c>
      <c r="D5" s="1" t="s">
        <v>194</v>
      </c>
      <c r="E5" s="1" t="s">
        <v>195</v>
      </c>
      <c r="F5" s="1"/>
      <c r="G5" s="1" t="s">
        <v>169</v>
      </c>
      <c r="H5" s="1" t="s">
        <v>170</v>
      </c>
      <c r="I5" s="1" t="s">
        <v>196</v>
      </c>
      <c r="J5" s="1" t="s">
        <v>197</v>
      </c>
      <c r="K5" s="1" t="s">
        <v>158</v>
      </c>
      <c r="L5" s="1" t="s">
        <v>198</v>
      </c>
      <c r="M5" s="1"/>
      <c r="N5" s="1"/>
      <c r="O5" s="1"/>
      <c r="P5" s="1"/>
      <c r="Q5" s="1"/>
      <c r="R5" s="1"/>
      <c r="S5" s="1" t="s">
        <v>199</v>
      </c>
      <c r="T5" s="1" t="s">
        <v>200</v>
      </c>
      <c r="U5" s="1" t="s">
        <v>201</v>
      </c>
      <c r="V5" s="1" t="s">
        <v>202</v>
      </c>
      <c r="W5" s="1"/>
      <c r="X5" s="1"/>
      <c r="Y5" s="1" t="s">
        <v>1030</v>
      </c>
      <c r="Z5" s="1" t="s">
        <v>1031</v>
      </c>
      <c r="AA5" s="1" t="s">
        <v>1032</v>
      </c>
      <c r="AB5" s="1" t="s">
        <v>1021</v>
      </c>
      <c r="AC5" s="1" t="s">
        <v>1033</v>
      </c>
      <c r="AD5" s="1" t="s">
        <v>1023</v>
      </c>
    </row>
    <row r="6" spans="1:30" ht="66" x14ac:dyDescent="0.3">
      <c r="A6" s="1" t="s">
        <v>149</v>
      </c>
      <c r="B6" s="1" t="s">
        <v>205</v>
      </c>
      <c r="C6" s="1" t="s">
        <v>151</v>
      </c>
      <c r="D6" s="1" t="s">
        <v>206</v>
      </c>
      <c r="E6" s="1" t="s">
        <v>207</v>
      </c>
      <c r="F6" s="1" t="s">
        <v>154</v>
      </c>
      <c r="G6" s="1" t="s">
        <v>155</v>
      </c>
      <c r="H6" s="1" t="s">
        <v>208</v>
      </c>
      <c r="I6" s="1" t="s">
        <v>209</v>
      </c>
      <c r="J6" s="1"/>
      <c r="K6" s="1" t="s">
        <v>158</v>
      </c>
      <c r="L6" s="1"/>
      <c r="M6" s="1" t="s">
        <v>210</v>
      </c>
      <c r="N6" s="1"/>
      <c r="O6" s="1" t="s">
        <v>211</v>
      </c>
      <c r="P6" s="1" t="s">
        <v>161</v>
      </c>
      <c r="Q6" s="1" t="s">
        <v>162</v>
      </c>
      <c r="R6" s="1" t="s">
        <v>212</v>
      </c>
      <c r="S6" s="1"/>
      <c r="T6" s="1"/>
      <c r="U6" s="1"/>
      <c r="V6" s="1" t="s">
        <v>213</v>
      </c>
      <c r="W6" s="1"/>
      <c r="X6" s="1"/>
      <c r="Y6" s="1" t="s">
        <v>1034</v>
      </c>
      <c r="Z6" s="1" t="s">
        <v>1035</v>
      </c>
      <c r="AA6" s="1" t="s">
        <v>1036</v>
      </c>
      <c r="AB6" s="1" t="s">
        <v>1037</v>
      </c>
      <c r="AC6" s="1" t="s">
        <v>1038</v>
      </c>
      <c r="AD6" s="1" t="s">
        <v>1017</v>
      </c>
    </row>
    <row r="7" spans="1:30" ht="66" x14ac:dyDescent="0.3">
      <c r="A7" s="1" t="s">
        <v>149</v>
      </c>
      <c r="B7" s="1" t="s">
        <v>216</v>
      </c>
      <c r="C7" s="1" t="s">
        <v>151</v>
      </c>
      <c r="D7" s="1" t="s">
        <v>217</v>
      </c>
      <c r="E7" s="1" t="s">
        <v>218</v>
      </c>
      <c r="F7" s="1" t="s">
        <v>154</v>
      </c>
      <c r="G7" s="1" t="s">
        <v>169</v>
      </c>
      <c r="H7" s="1" t="s">
        <v>219</v>
      </c>
      <c r="I7" s="1" t="s">
        <v>220</v>
      </c>
      <c r="J7" s="1"/>
      <c r="K7" s="1" t="s">
        <v>158</v>
      </c>
      <c r="L7" s="1" t="s">
        <v>221</v>
      </c>
      <c r="M7" s="1"/>
      <c r="N7" s="1"/>
      <c r="O7" s="1"/>
      <c r="P7" s="1"/>
      <c r="Q7" s="1"/>
      <c r="R7" s="1"/>
      <c r="S7" s="1"/>
      <c r="T7" s="1" t="s">
        <v>222</v>
      </c>
      <c r="U7" s="1" t="s">
        <v>223</v>
      </c>
      <c r="V7" s="1"/>
      <c r="W7" s="1" t="s">
        <v>224</v>
      </c>
      <c r="X7" s="1"/>
      <c r="Y7" s="1" t="s">
        <v>1039</v>
      </c>
      <c r="Z7" s="1" t="s">
        <v>1040</v>
      </c>
      <c r="AA7" s="1" t="s">
        <v>1041</v>
      </c>
      <c r="AB7" s="1" t="s">
        <v>1042</v>
      </c>
      <c r="AC7" s="1" t="s">
        <v>1028</v>
      </c>
      <c r="AD7" s="1" t="s">
        <v>1043</v>
      </c>
    </row>
    <row r="8" spans="1:30" ht="82.5" x14ac:dyDescent="0.3">
      <c r="A8" s="1" t="s">
        <v>149</v>
      </c>
      <c r="B8" s="1" t="s">
        <v>227</v>
      </c>
      <c r="C8" s="1" t="s">
        <v>151</v>
      </c>
      <c r="D8" s="1" t="s">
        <v>228</v>
      </c>
      <c r="E8" s="1" t="s">
        <v>229</v>
      </c>
      <c r="F8" s="1" t="s">
        <v>184</v>
      </c>
      <c r="G8" s="1" t="s">
        <v>155</v>
      </c>
      <c r="H8" s="1" t="s">
        <v>230</v>
      </c>
      <c r="I8" s="1" t="s">
        <v>157</v>
      </c>
      <c r="J8" s="1"/>
      <c r="K8" s="1" t="s">
        <v>158</v>
      </c>
      <c r="L8" s="1"/>
      <c r="M8" s="1" t="s">
        <v>159</v>
      </c>
      <c r="N8" s="1"/>
      <c r="O8" s="1" t="s">
        <v>160</v>
      </c>
      <c r="P8" s="1" t="s">
        <v>161</v>
      </c>
      <c r="Q8" s="1" t="s">
        <v>162</v>
      </c>
      <c r="R8" s="1" t="s">
        <v>163</v>
      </c>
      <c r="S8" s="1"/>
      <c r="T8" s="1"/>
      <c r="U8" s="1"/>
      <c r="V8" s="1"/>
      <c r="W8" s="1"/>
      <c r="X8" s="1"/>
      <c r="Y8" s="1" t="s">
        <v>1044</v>
      </c>
      <c r="Z8" s="1" t="s">
        <v>1045</v>
      </c>
      <c r="AA8" s="1" t="s">
        <v>1046</v>
      </c>
      <c r="AB8" s="1" t="s">
        <v>1015</v>
      </c>
      <c r="AC8" s="1" t="s">
        <v>1016</v>
      </c>
      <c r="AD8" s="1" t="s">
        <v>1017</v>
      </c>
    </row>
    <row r="9" spans="1:30" ht="82.5" x14ac:dyDescent="0.3">
      <c r="A9" s="1" t="s">
        <v>149</v>
      </c>
      <c r="B9" s="1" t="s">
        <v>233</v>
      </c>
      <c r="C9" s="1" t="s">
        <v>151</v>
      </c>
      <c r="D9" s="1" t="s">
        <v>234</v>
      </c>
      <c r="E9" s="1" t="s">
        <v>235</v>
      </c>
      <c r="F9" s="1" t="s">
        <v>184</v>
      </c>
      <c r="G9" s="1" t="s">
        <v>155</v>
      </c>
      <c r="H9" s="1" t="s">
        <v>236</v>
      </c>
      <c r="I9" s="1" t="s">
        <v>171</v>
      </c>
      <c r="J9" s="1"/>
      <c r="K9" s="1" t="s">
        <v>158</v>
      </c>
      <c r="L9" s="1" t="s">
        <v>237</v>
      </c>
      <c r="M9" s="1"/>
      <c r="N9" s="1"/>
      <c r="O9" s="1"/>
      <c r="P9" s="1"/>
      <c r="Q9" s="1" t="s">
        <v>188</v>
      </c>
      <c r="R9" s="1" t="s">
        <v>174</v>
      </c>
      <c r="S9" s="1"/>
      <c r="T9" s="1"/>
      <c r="U9" s="1" t="s">
        <v>238</v>
      </c>
      <c r="V9" s="1"/>
      <c r="W9" s="1"/>
      <c r="X9" s="1"/>
      <c r="Y9" s="1" t="s">
        <v>1047</v>
      </c>
      <c r="Z9" s="1" t="s">
        <v>1048</v>
      </c>
      <c r="AA9" s="1" t="s">
        <v>1049</v>
      </c>
      <c r="AB9" s="1" t="s">
        <v>1050</v>
      </c>
      <c r="AC9" s="1" t="s">
        <v>1028</v>
      </c>
      <c r="AD9" s="1" t="s">
        <v>1051</v>
      </c>
    </row>
    <row r="10" spans="1:30" ht="66" x14ac:dyDescent="0.3">
      <c r="A10" s="1" t="s">
        <v>149</v>
      </c>
      <c r="B10" s="1" t="s">
        <v>241</v>
      </c>
      <c r="C10" s="1" t="s">
        <v>151</v>
      </c>
      <c r="D10" s="1" t="s">
        <v>242</v>
      </c>
      <c r="E10" s="1" t="s">
        <v>243</v>
      </c>
      <c r="F10" s="1" t="s">
        <v>244</v>
      </c>
      <c r="G10" s="1" t="s">
        <v>169</v>
      </c>
      <c r="H10" s="1" t="s">
        <v>245</v>
      </c>
      <c r="I10" s="1" t="s">
        <v>209</v>
      </c>
      <c r="J10" s="1" t="s">
        <v>172</v>
      </c>
      <c r="K10" s="1" t="s">
        <v>158</v>
      </c>
      <c r="L10" s="1" t="s">
        <v>246</v>
      </c>
      <c r="M10" s="1"/>
      <c r="N10" s="1"/>
      <c r="O10" s="1"/>
      <c r="P10" s="1"/>
      <c r="Q10" s="1"/>
      <c r="R10" s="1"/>
      <c r="S10" s="1" t="s">
        <v>247</v>
      </c>
      <c r="T10" s="1" t="s">
        <v>248</v>
      </c>
      <c r="U10" s="1" t="s">
        <v>249</v>
      </c>
      <c r="V10" s="1"/>
      <c r="W10" s="1"/>
      <c r="X10" s="1"/>
      <c r="Y10" s="1" t="s">
        <v>1052</v>
      </c>
      <c r="Z10" s="1" t="s">
        <v>1053</v>
      </c>
      <c r="AA10" s="1" t="s">
        <v>1054</v>
      </c>
      <c r="AB10" s="1" t="s">
        <v>1015</v>
      </c>
      <c r="AC10" s="1" t="s">
        <v>1038</v>
      </c>
      <c r="AD10" s="1" t="s">
        <v>1017</v>
      </c>
    </row>
    <row r="11" spans="1:30" ht="231" x14ac:dyDescent="0.3">
      <c r="A11" s="1" t="s">
        <v>149</v>
      </c>
      <c r="B11" s="1" t="s">
        <v>252</v>
      </c>
      <c r="C11" s="1" t="s">
        <v>151</v>
      </c>
      <c r="D11" s="1" t="s">
        <v>253</v>
      </c>
      <c r="E11" s="1" t="s">
        <v>254</v>
      </c>
      <c r="F11" s="1" t="s">
        <v>184</v>
      </c>
      <c r="G11" s="1" t="s">
        <v>255</v>
      </c>
      <c r="H11" s="1" t="s">
        <v>256</v>
      </c>
      <c r="I11" s="1" t="s">
        <v>257</v>
      </c>
      <c r="J11" s="1"/>
      <c r="K11" s="1" t="s">
        <v>158</v>
      </c>
      <c r="L11" s="1" t="s">
        <v>258</v>
      </c>
      <c r="M11" s="1"/>
      <c r="N11" s="1"/>
      <c r="O11" s="1" t="s">
        <v>259</v>
      </c>
      <c r="P11" s="1" t="s">
        <v>161</v>
      </c>
      <c r="Q11" s="1" t="s">
        <v>211</v>
      </c>
      <c r="R11" s="1" t="s">
        <v>260</v>
      </c>
      <c r="S11" s="1"/>
      <c r="T11" s="1"/>
      <c r="U11" s="1"/>
      <c r="V11" s="1"/>
      <c r="W11" s="1"/>
      <c r="X11" s="1"/>
      <c r="Y11" s="1" t="s">
        <v>261</v>
      </c>
      <c r="Z11" s="1" t="s">
        <v>262</v>
      </c>
      <c r="AA11" s="1" t="s">
        <v>9</v>
      </c>
      <c r="AB11" s="1" t="s">
        <v>1055</v>
      </c>
      <c r="AC11" s="1" t="s">
        <v>1056</v>
      </c>
      <c r="AD11" s="1" t="s">
        <v>1057</v>
      </c>
    </row>
    <row r="12" spans="1:30" ht="297" x14ac:dyDescent="0.3">
      <c r="A12" s="1" t="s">
        <v>149</v>
      </c>
      <c r="B12" s="1" t="s">
        <v>263</v>
      </c>
      <c r="C12" s="1" t="s">
        <v>151</v>
      </c>
      <c r="D12" s="1" t="s">
        <v>264</v>
      </c>
      <c r="E12" s="1" t="s">
        <v>265</v>
      </c>
      <c r="F12" s="1"/>
      <c r="G12" s="1" t="s">
        <v>169</v>
      </c>
      <c r="H12" s="1" t="s">
        <v>266</v>
      </c>
      <c r="I12" s="1" t="s">
        <v>196</v>
      </c>
      <c r="J12" s="1"/>
      <c r="K12" s="1" t="s">
        <v>158</v>
      </c>
      <c r="L12" s="1" t="s">
        <v>267</v>
      </c>
      <c r="M12" s="1"/>
      <c r="N12" s="1"/>
      <c r="O12" s="1" t="s">
        <v>268</v>
      </c>
      <c r="P12" s="1" t="s">
        <v>161</v>
      </c>
      <c r="Q12" s="1"/>
      <c r="R12" s="1" t="s">
        <v>212</v>
      </c>
      <c r="S12" s="1"/>
      <c r="T12" s="1" t="s">
        <v>269</v>
      </c>
      <c r="U12" s="1" t="s">
        <v>270</v>
      </c>
      <c r="V12" s="1"/>
      <c r="W12" s="1"/>
      <c r="X12" s="1"/>
      <c r="Y12" s="1" t="s">
        <v>271</v>
      </c>
      <c r="Z12" s="1" t="s">
        <v>272</v>
      </c>
      <c r="AA12" s="1" t="s">
        <v>10</v>
      </c>
      <c r="AB12" s="1" t="s">
        <v>1058</v>
      </c>
      <c r="AC12" s="1" t="s">
        <v>1028</v>
      </c>
      <c r="AD12" s="1" t="s">
        <v>1023</v>
      </c>
    </row>
    <row r="13" spans="1:30" ht="247.5" x14ac:dyDescent="0.3">
      <c r="A13" s="1" t="s">
        <v>149</v>
      </c>
      <c r="B13" s="1" t="s">
        <v>273</v>
      </c>
      <c r="C13" s="1" t="s">
        <v>151</v>
      </c>
      <c r="D13" s="1" t="s">
        <v>274</v>
      </c>
      <c r="E13" s="1" t="s">
        <v>275</v>
      </c>
      <c r="F13" s="1" t="s">
        <v>154</v>
      </c>
      <c r="G13" s="1" t="s">
        <v>169</v>
      </c>
      <c r="H13" s="1" t="s">
        <v>276</v>
      </c>
      <c r="I13" s="1" t="s">
        <v>220</v>
      </c>
      <c r="J13" s="1"/>
      <c r="K13" s="1" t="s">
        <v>158</v>
      </c>
      <c r="L13" s="1" t="s">
        <v>277</v>
      </c>
      <c r="M13" s="1"/>
      <c r="N13" s="1"/>
      <c r="O13" s="1"/>
      <c r="P13" s="1"/>
      <c r="Q13" s="1"/>
      <c r="R13" s="1" t="s">
        <v>189</v>
      </c>
      <c r="S13" s="1" t="s">
        <v>278</v>
      </c>
      <c r="T13" s="1" t="s">
        <v>279</v>
      </c>
      <c r="U13" s="1" t="s">
        <v>280</v>
      </c>
      <c r="V13" s="1"/>
      <c r="W13" s="1"/>
      <c r="X13" s="1"/>
      <c r="Y13" s="1" t="s">
        <v>281</v>
      </c>
      <c r="Z13" s="1" t="s">
        <v>282</v>
      </c>
      <c r="AA13" s="1" t="s">
        <v>283</v>
      </c>
      <c r="AB13" s="1" t="s">
        <v>1042</v>
      </c>
      <c r="AC13" s="1" t="s">
        <v>1028</v>
      </c>
      <c r="AD13" s="1" t="s">
        <v>1043</v>
      </c>
    </row>
    <row r="14" spans="1:30" ht="313.5" x14ac:dyDescent="0.3">
      <c r="A14" s="1" t="s">
        <v>149</v>
      </c>
      <c r="B14" s="1" t="s">
        <v>284</v>
      </c>
      <c r="C14" s="1" t="s">
        <v>151</v>
      </c>
      <c r="D14" s="1" t="s">
        <v>285</v>
      </c>
      <c r="E14" s="1" t="s">
        <v>286</v>
      </c>
      <c r="F14" s="1" t="s">
        <v>184</v>
      </c>
      <c r="G14" s="1" t="s">
        <v>255</v>
      </c>
      <c r="H14" s="1" t="s">
        <v>256</v>
      </c>
      <c r="I14" s="1" t="s">
        <v>287</v>
      </c>
      <c r="J14" s="1"/>
      <c r="K14" s="1" t="s">
        <v>158</v>
      </c>
      <c r="L14" s="1" t="s">
        <v>288</v>
      </c>
      <c r="M14" s="1"/>
      <c r="N14" s="1"/>
      <c r="O14" s="1"/>
      <c r="P14" s="1"/>
      <c r="Q14" s="1" t="s">
        <v>289</v>
      </c>
      <c r="R14" s="1" t="s">
        <v>290</v>
      </c>
      <c r="S14" s="1"/>
      <c r="T14" s="1"/>
      <c r="U14" s="1"/>
      <c r="V14" s="1"/>
      <c r="W14" s="1"/>
      <c r="X14" s="1"/>
      <c r="Y14" s="1" t="s">
        <v>291</v>
      </c>
      <c r="Z14" s="1" t="s">
        <v>292</v>
      </c>
      <c r="AA14" s="1" t="s">
        <v>12</v>
      </c>
      <c r="AB14" s="1" t="s">
        <v>1059</v>
      </c>
      <c r="AC14" s="1" t="s">
        <v>1060</v>
      </c>
      <c r="AD14" s="1" t="s">
        <v>1057</v>
      </c>
    </row>
    <row r="15" spans="1:30" ht="214.5" x14ac:dyDescent="0.3">
      <c r="A15" s="1" t="s">
        <v>149</v>
      </c>
      <c r="B15" s="1" t="s">
        <v>293</v>
      </c>
      <c r="C15" s="1" t="s">
        <v>151</v>
      </c>
      <c r="D15" s="1" t="s">
        <v>294</v>
      </c>
      <c r="E15" s="1" t="s">
        <v>295</v>
      </c>
      <c r="F15" s="1"/>
      <c r="G15" s="1" t="s">
        <v>296</v>
      </c>
      <c r="H15" s="1" t="s">
        <v>297</v>
      </c>
      <c r="I15" s="1" t="s">
        <v>298</v>
      </c>
      <c r="J15" s="1"/>
      <c r="K15" s="1" t="s">
        <v>158</v>
      </c>
      <c r="L15" s="1" t="s">
        <v>299</v>
      </c>
      <c r="M15" s="1"/>
      <c r="N15" s="1"/>
      <c r="O15" s="1"/>
      <c r="P15" s="1"/>
      <c r="Q15" s="1"/>
      <c r="R15" s="1" t="s">
        <v>189</v>
      </c>
      <c r="S15" s="1" t="s">
        <v>300</v>
      </c>
      <c r="T15" s="1" t="s">
        <v>301</v>
      </c>
      <c r="U15" s="1" t="s">
        <v>302</v>
      </c>
      <c r="V15" s="1"/>
      <c r="W15" s="1"/>
      <c r="X15" s="1"/>
      <c r="Y15" s="1" t="s">
        <v>303</v>
      </c>
      <c r="Z15" s="1" t="s">
        <v>304</v>
      </c>
      <c r="AA15" s="1" t="s">
        <v>13</v>
      </c>
      <c r="AB15" s="1" t="s">
        <v>1061</v>
      </c>
      <c r="AC15" s="1" t="s">
        <v>1062</v>
      </c>
      <c r="AD15" s="1" t="s">
        <v>1063</v>
      </c>
    </row>
    <row r="16" spans="1:30" ht="297" x14ac:dyDescent="0.3">
      <c r="A16" s="1" t="s">
        <v>149</v>
      </c>
      <c r="B16" s="1" t="s">
        <v>305</v>
      </c>
      <c r="C16" s="1" t="s">
        <v>151</v>
      </c>
      <c r="D16" s="1" t="s">
        <v>306</v>
      </c>
      <c r="E16" s="1" t="s">
        <v>307</v>
      </c>
      <c r="F16" s="1" t="s">
        <v>184</v>
      </c>
      <c r="G16" s="1" t="s">
        <v>155</v>
      </c>
      <c r="H16" s="1" t="s">
        <v>236</v>
      </c>
      <c r="I16" s="1" t="s">
        <v>171</v>
      </c>
      <c r="J16" s="1"/>
      <c r="K16" s="1" t="s">
        <v>158</v>
      </c>
      <c r="L16" s="1" t="s">
        <v>308</v>
      </c>
      <c r="M16" s="1"/>
      <c r="N16" s="1"/>
      <c r="O16" s="1"/>
      <c r="P16" s="1"/>
      <c r="Q16" s="1" t="s">
        <v>309</v>
      </c>
      <c r="R16" s="1" t="s">
        <v>189</v>
      </c>
      <c r="S16" s="1"/>
      <c r="T16" s="1"/>
      <c r="U16" s="1" t="s">
        <v>310</v>
      </c>
      <c r="V16" s="1"/>
      <c r="W16" s="1"/>
      <c r="X16" s="1"/>
      <c r="Y16" s="1" t="s">
        <v>311</v>
      </c>
      <c r="Z16" s="1" t="s">
        <v>312</v>
      </c>
      <c r="AA16" s="1" t="s">
        <v>14</v>
      </c>
      <c r="AB16" s="1" t="s">
        <v>1050</v>
      </c>
      <c r="AC16" s="1" t="s">
        <v>1022</v>
      </c>
      <c r="AD16" s="1" t="s">
        <v>1051</v>
      </c>
    </row>
    <row r="17" spans="1:30" ht="214.5" x14ac:dyDescent="0.3">
      <c r="A17" s="1" t="s">
        <v>149</v>
      </c>
      <c r="B17" s="1" t="s">
        <v>313</v>
      </c>
      <c r="C17" s="1" t="s">
        <v>151</v>
      </c>
      <c r="D17" s="1" t="s">
        <v>314</v>
      </c>
      <c r="E17" s="1" t="s">
        <v>315</v>
      </c>
      <c r="F17" s="1" t="s">
        <v>154</v>
      </c>
      <c r="G17" s="1" t="s">
        <v>296</v>
      </c>
      <c r="H17" s="1" t="s">
        <v>316</v>
      </c>
      <c r="I17" s="1" t="s">
        <v>220</v>
      </c>
      <c r="J17" s="1"/>
      <c r="K17" s="1" t="s">
        <v>158</v>
      </c>
      <c r="L17" s="1" t="s">
        <v>267</v>
      </c>
      <c r="M17" s="1"/>
      <c r="N17" s="1"/>
      <c r="O17" s="1"/>
      <c r="P17" s="1"/>
      <c r="Q17" s="1"/>
      <c r="R17" s="1" t="s">
        <v>174</v>
      </c>
      <c r="S17" s="1"/>
      <c r="T17" s="1" t="s">
        <v>317</v>
      </c>
      <c r="U17" s="1" t="s">
        <v>318</v>
      </c>
      <c r="V17" s="1"/>
      <c r="W17" s="1"/>
      <c r="X17" s="1"/>
      <c r="Y17" s="1" t="s">
        <v>319</v>
      </c>
      <c r="Z17" s="1" t="s">
        <v>320</v>
      </c>
      <c r="AA17" s="1" t="s">
        <v>15</v>
      </c>
      <c r="AB17" s="1" t="s">
        <v>1064</v>
      </c>
      <c r="AC17" s="1" t="s">
        <v>1028</v>
      </c>
      <c r="AD17" s="1" t="s">
        <v>1043</v>
      </c>
    </row>
    <row r="18" spans="1:30" ht="198" x14ac:dyDescent="0.3">
      <c r="A18" s="1" t="s">
        <v>149</v>
      </c>
      <c r="B18" s="1" t="s">
        <v>321</v>
      </c>
      <c r="C18" s="1" t="s">
        <v>151</v>
      </c>
      <c r="D18" s="1" t="s">
        <v>322</v>
      </c>
      <c r="E18" s="1" t="s">
        <v>323</v>
      </c>
      <c r="F18" s="1" t="s">
        <v>154</v>
      </c>
      <c r="G18" s="1" t="s">
        <v>296</v>
      </c>
      <c r="H18" s="1" t="s">
        <v>297</v>
      </c>
      <c r="I18" s="1" t="s">
        <v>298</v>
      </c>
      <c r="J18" s="1" t="s">
        <v>324</v>
      </c>
      <c r="K18" s="1" t="s">
        <v>158</v>
      </c>
      <c r="L18" s="1" t="s">
        <v>325</v>
      </c>
      <c r="M18" s="1"/>
      <c r="N18" s="1"/>
      <c r="O18" s="1"/>
      <c r="P18" s="1"/>
      <c r="Q18" s="1"/>
      <c r="R18" s="1"/>
      <c r="S18" s="1" t="s">
        <v>326</v>
      </c>
      <c r="T18" s="1" t="s">
        <v>327</v>
      </c>
      <c r="U18" s="1" t="s">
        <v>328</v>
      </c>
      <c r="V18" s="1"/>
      <c r="W18" s="1" t="s">
        <v>329</v>
      </c>
      <c r="X18" s="1"/>
      <c r="Y18" s="1" t="s">
        <v>330</v>
      </c>
      <c r="Z18" s="1" t="s">
        <v>331</v>
      </c>
      <c r="AA18" s="1" t="s">
        <v>332</v>
      </c>
      <c r="AB18" s="1" t="s">
        <v>1061</v>
      </c>
      <c r="AC18" s="1" t="s">
        <v>1065</v>
      </c>
      <c r="AD18" s="1" t="s">
        <v>1043</v>
      </c>
    </row>
    <row r="19" spans="1:30" ht="231" x14ac:dyDescent="0.3">
      <c r="A19" s="1" t="s">
        <v>149</v>
      </c>
      <c r="B19" s="1" t="s">
        <v>333</v>
      </c>
      <c r="C19" s="1" t="s">
        <v>151</v>
      </c>
      <c r="D19" s="1" t="s">
        <v>334</v>
      </c>
      <c r="E19" s="1" t="s">
        <v>335</v>
      </c>
      <c r="F19" s="1" t="s">
        <v>336</v>
      </c>
      <c r="G19" s="1" t="s">
        <v>337</v>
      </c>
      <c r="H19" s="1" t="s">
        <v>298</v>
      </c>
      <c r="I19" s="1" t="s">
        <v>338</v>
      </c>
      <c r="J19" s="1" t="s">
        <v>339</v>
      </c>
      <c r="K19" s="1" t="s">
        <v>158</v>
      </c>
      <c r="L19" s="1" t="s">
        <v>340</v>
      </c>
      <c r="M19" s="1"/>
      <c r="N19" s="1"/>
      <c r="O19" s="1"/>
      <c r="P19" s="1"/>
      <c r="Q19" s="1"/>
      <c r="R19" s="1"/>
      <c r="S19" s="1" t="s">
        <v>341</v>
      </c>
      <c r="T19" s="1" t="s">
        <v>342</v>
      </c>
      <c r="U19" s="1" t="s">
        <v>343</v>
      </c>
      <c r="V19" s="1"/>
      <c r="W19" s="1"/>
      <c r="X19" s="1"/>
      <c r="Y19" s="1" t="s">
        <v>344</v>
      </c>
      <c r="Z19" s="1" t="s">
        <v>345</v>
      </c>
      <c r="AA19" s="1" t="s">
        <v>17</v>
      </c>
      <c r="AB19" s="1" t="s">
        <v>1066</v>
      </c>
      <c r="AC19" s="1" t="s">
        <v>1022</v>
      </c>
      <c r="AD19" s="1" t="s">
        <v>1067</v>
      </c>
    </row>
    <row r="20" spans="1:30" ht="247.5" x14ac:dyDescent="0.3">
      <c r="A20" s="1" t="s">
        <v>149</v>
      </c>
      <c r="B20" s="1" t="s">
        <v>346</v>
      </c>
      <c r="C20" s="1" t="s">
        <v>151</v>
      </c>
      <c r="D20" s="1" t="s">
        <v>347</v>
      </c>
      <c r="E20" s="1" t="s">
        <v>348</v>
      </c>
      <c r="F20" s="1"/>
      <c r="G20" s="1" t="s">
        <v>169</v>
      </c>
      <c r="H20" s="1" t="s">
        <v>349</v>
      </c>
      <c r="I20" s="1" t="s">
        <v>350</v>
      </c>
      <c r="J20" s="1"/>
      <c r="K20" s="1" t="s">
        <v>158</v>
      </c>
      <c r="L20" s="1" t="s">
        <v>351</v>
      </c>
      <c r="M20" s="1"/>
      <c r="N20" s="1"/>
      <c r="O20" s="1"/>
      <c r="P20" s="1"/>
      <c r="Q20" s="1"/>
      <c r="R20" s="1" t="s">
        <v>174</v>
      </c>
      <c r="S20" s="1" t="s">
        <v>352</v>
      </c>
      <c r="T20" s="1" t="s">
        <v>353</v>
      </c>
      <c r="U20" s="1" t="s">
        <v>354</v>
      </c>
      <c r="V20" s="1" t="s">
        <v>355</v>
      </c>
      <c r="W20" s="1"/>
      <c r="X20" s="1"/>
      <c r="Y20" s="1" t="s">
        <v>356</v>
      </c>
      <c r="Z20" s="1" t="s">
        <v>357</v>
      </c>
      <c r="AA20" s="1" t="s">
        <v>18</v>
      </c>
      <c r="AB20" s="1" t="s">
        <v>1068</v>
      </c>
      <c r="AC20" s="1" t="s">
        <v>1069</v>
      </c>
      <c r="AD20" s="1" t="s">
        <v>1070</v>
      </c>
    </row>
    <row r="21" spans="1:30" ht="82.5" x14ac:dyDescent="0.3">
      <c r="A21" s="1" t="s">
        <v>149</v>
      </c>
      <c r="B21" s="1" t="s">
        <v>358</v>
      </c>
      <c r="C21" s="1" t="s">
        <v>151</v>
      </c>
      <c r="D21" s="1" t="s">
        <v>359</v>
      </c>
      <c r="E21" s="1" t="s">
        <v>360</v>
      </c>
      <c r="F21" s="1" t="s">
        <v>154</v>
      </c>
      <c r="G21" s="1" t="s">
        <v>155</v>
      </c>
      <c r="H21" s="1" t="s">
        <v>236</v>
      </c>
      <c r="I21" s="1" t="s">
        <v>196</v>
      </c>
      <c r="J21" s="1"/>
      <c r="K21" s="1" t="s">
        <v>158</v>
      </c>
      <c r="L21" s="1" t="s">
        <v>361</v>
      </c>
      <c r="M21" s="1"/>
      <c r="N21" s="1"/>
      <c r="O21" s="1"/>
      <c r="P21" s="1"/>
      <c r="Q21" s="1" t="s">
        <v>289</v>
      </c>
      <c r="R21" s="1" t="s">
        <v>290</v>
      </c>
      <c r="S21" s="1"/>
      <c r="T21" s="1"/>
      <c r="U21" s="1" t="s">
        <v>362</v>
      </c>
      <c r="V21" s="1" t="s">
        <v>363</v>
      </c>
      <c r="W21" s="1"/>
      <c r="X21" s="1"/>
      <c r="Y21" s="1" t="s">
        <v>1071</v>
      </c>
      <c r="Z21" s="1" t="s">
        <v>365</v>
      </c>
      <c r="AA21" s="1" t="s">
        <v>1072</v>
      </c>
      <c r="AB21" s="1" t="s">
        <v>1073</v>
      </c>
      <c r="AC21" s="1" t="s">
        <v>1028</v>
      </c>
      <c r="AD21" s="1" t="s">
        <v>1074</v>
      </c>
    </row>
    <row r="22" spans="1:30" ht="66" x14ac:dyDescent="0.3">
      <c r="A22" s="1" t="s">
        <v>149</v>
      </c>
      <c r="B22" s="1" t="s">
        <v>366</v>
      </c>
      <c r="C22" s="1" t="s">
        <v>151</v>
      </c>
      <c r="D22" s="1" t="s">
        <v>367</v>
      </c>
      <c r="E22" s="1" t="s">
        <v>368</v>
      </c>
      <c r="F22" s="1" t="s">
        <v>154</v>
      </c>
      <c r="G22" s="1" t="s">
        <v>296</v>
      </c>
      <c r="H22" s="1" t="s">
        <v>369</v>
      </c>
      <c r="I22" s="1" t="s">
        <v>370</v>
      </c>
      <c r="J22" s="1"/>
      <c r="K22" s="1" t="s">
        <v>158</v>
      </c>
      <c r="L22" s="1" t="s">
        <v>267</v>
      </c>
      <c r="M22" s="1"/>
      <c r="N22" s="1"/>
      <c r="O22" s="1"/>
      <c r="P22" s="1"/>
      <c r="Q22" s="1"/>
      <c r="R22" s="1" t="s">
        <v>174</v>
      </c>
      <c r="S22" s="1"/>
      <c r="T22" s="1"/>
      <c r="U22" s="1"/>
      <c r="V22" s="1" t="s">
        <v>371</v>
      </c>
      <c r="W22" s="1" t="s">
        <v>329</v>
      </c>
      <c r="X22" s="1"/>
      <c r="Y22" s="1" t="s">
        <v>1075</v>
      </c>
      <c r="Z22" s="1" t="s">
        <v>1076</v>
      </c>
      <c r="AA22" s="1" t="s">
        <v>1077</v>
      </c>
      <c r="AB22" s="1" t="s">
        <v>1061</v>
      </c>
      <c r="AC22" s="1" t="s">
        <v>1028</v>
      </c>
      <c r="AD22" s="1" t="s">
        <v>1043</v>
      </c>
    </row>
    <row r="23" spans="1:30" ht="49.5" x14ac:dyDescent="0.3">
      <c r="A23" s="1" t="s">
        <v>149</v>
      </c>
      <c r="B23" s="1" t="s">
        <v>374</v>
      </c>
      <c r="C23" s="1" t="s">
        <v>151</v>
      </c>
      <c r="D23" s="1" t="s">
        <v>375</v>
      </c>
      <c r="E23" s="1" t="s">
        <v>376</v>
      </c>
      <c r="F23" s="1" t="s">
        <v>377</v>
      </c>
      <c r="G23" s="1" t="s">
        <v>337</v>
      </c>
      <c r="H23" s="1" t="s">
        <v>378</v>
      </c>
      <c r="I23" s="1" t="s">
        <v>220</v>
      </c>
      <c r="J23" s="1" t="s">
        <v>324</v>
      </c>
      <c r="K23" s="1" t="s">
        <v>158</v>
      </c>
      <c r="L23" s="1" t="s">
        <v>379</v>
      </c>
      <c r="M23" s="1"/>
      <c r="N23" s="1"/>
      <c r="O23" s="1"/>
      <c r="P23" s="1"/>
      <c r="Q23" s="1"/>
      <c r="R23" s="1" t="s">
        <v>174</v>
      </c>
      <c r="S23" s="1" t="s">
        <v>300</v>
      </c>
      <c r="T23" s="1"/>
      <c r="U23" s="1"/>
      <c r="V23" s="1"/>
      <c r="W23" s="1"/>
      <c r="X23" s="1"/>
      <c r="Y23" s="1" t="s">
        <v>1078</v>
      </c>
      <c r="Z23" s="1" t="s">
        <v>1079</v>
      </c>
      <c r="AA23" s="1" t="s">
        <v>1080</v>
      </c>
      <c r="AB23" s="1" t="s">
        <v>1081</v>
      </c>
      <c r="AC23" s="1" t="s">
        <v>1028</v>
      </c>
      <c r="AD23" s="1" t="s">
        <v>1082</v>
      </c>
    </row>
    <row r="24" spans="1:30" ht="66" x14ac:dyDescent="0.3">
      <c r="A24" s="1" t="s">
        <v>149</v>
      </c>
      <c r="B24" s="1" t="s">
        <v>383</v>
      </c>
      <c r="C24" s="1" t="s">
        <v>151</v>
      </c>
      <c r="D24" s="1" t="s">
        <v>384</v>
      </c>
      <c r="E24" s="1" t="s">
        <v>385</v>
      </c>
      <c r="F24" s="1"/>
      <c r="G24" s="1" t="s">
        <v>169</v>
      </c>
      <c r="H24" s="1" t="s">
        <v>386</v>
      </c>
      <c r="I24" s="1" t="s">
        <v>387</v>
      </c>
      <c r="J24" s="1"/>
      <c r="K24" s="1" t="s">
        <v>158</v>
      </c>
      <c r="L24" s="1" t="s">
        <v>340</v>
      </c>
      <c r="M24" s="1"/>
      <c r="N24" s="1"/>
      <c r="O24" s="1" t="s">
        <v>388</v>
      </c>
      <c r="P24" s="1" t="s">
        <v>161</v>
      </c>
      <c r="Q24" s="1"/>
      <c r="R24" s="1" t="s">
        <v>213</v>
      </c>
      <c r="S24" s="1" t="s">
        <v>341</v>
      </c>
      <c r="T24" s="1" t="s">
        <v>389</v>
      </c>
      <c r="U24" s="1" t="s">
        <v>390</v>
      </c>
      <c r="V24" s="1"/>
      <c r="W24" s="1"/>
      <c r="X24" s="1"/>
      <c r="Y24" s="1" t="s">
        <v>1083</v>
      </c>
      <c r="Z24" s="1" t="s">
        <v>1084</v>
      </c>
      <c r="AA24" s="1" t="s">
        <v>1085</v>
      </c>
      <c r="AB24" s="1" t="s">
        <v>1068</v>
      </c>
      <c r="AC24" s="1" t="s">
        <v>1086</v>
      </c>
      <c r="AD24" s="1" t="s">
        <v>1070</v>
      </c>
    </row>
    <row r="25" spans="1:30" ht="66" x14ac:dyDescent="0.3">
      <c r="A25" s="1" t="s">
        <v>149</v>
      </c>
      <c r="B25" s="1" t="s">
        <v>393</v>
      </c>
      <c r="C25" s="1" t="s">
        <v>151</v>
      </c>
      <c r="D25" s="1" t="s">
        <v>394</v>
      </c>
      <c r="E25" s="1" t="s">
        <v>395</v>
      </c>
      <c r="F25" s="1" t="s">
        <v>396</v>
      </c>
      <c r="G25" s="1" t="s">
        <v>169</v>
      </c>
      <c r="H25" s="1" t="s">
        <v>397</v>
      </c>
      <c r="I25" s="1" t="s">
        <v>298</v>
      </c>
      <c r="J25" s="1"/>
      <c r="K25" s="1" t="s">
        <v>158</v>
      </c>
      <c r="L25" s="1" t="s">
        <v>221</v>
      </c>
      <c r="M25" s="1"/>
      <c r="N25" s="1"/>
      <c r="O25" s="1"/>
      <c r="P25" s="1"/>
      <c r="Q25" s="1"/>
      <c r="R25" s="1"/>
      <c r="S25" s="1"/>
      <c r="T25" s="1" t="s">
        <v>398</v>
      </c>
      <c r="U25" s="1" t="s">
        <v>399</v>
      </c>
      <c r="V25" s="1"/>
      <c r="W25" s="1" t="s">
        <v>400</v>
      </c>
      <c r="X25" s="1"/>
      <c r="Y25" s="1" t="s">
        <v>1087</v>
      </c>
      <c r="Z25" s="1" t="s">
        <v>1088</v>
      </c>
      <c r="AA25" s="1" t="s">
        <v>1089</v>
      </c>
      <c r="AB25" s="1" t="s">
        <v>1042</v>
      </c>
      <c r="AC25" s="1" t="s">
        <v>1090</v>
      </c>
      <c r="AD25" s="1" t="s">
        <v>1091</v>
      </c>
    </row>
    <row r="26" spans="1:30" ht="66" x14ac:dyDescent="0.3">
      <c r="A26" s="1" t="s">
        <v>149</v>
      </c>
      <c r="B26" s="1" t="s">
        <v>403</v>
      </c>
      <c r="C26" s="1" t="s">
        <v>151</v>
      </c>
      <c r="D26" s="1" t="s">
        <v>404</v>
      </c>
      <c r="E26" s="1" t="s">
        <v>405</v>
      </c>
      <c r="F26" s="1" t="s">
        <v>244</v>
      </c>
      <c r="G26" s="1" t="s">
        <v>296</v>
      </c>
      <c r="H26" s="1" t="s">
        <v>369</v>
      </c>
      <c r="I26" s="1" t="s">
        <v>220</v>
      </c>
      <c r="J26" s="1"/>
      <c r="K26" s="1" t="s">
        <v>158</v>
      </c>
      <c r="L26" s="1" t="s">
        <v>221</v>
      </c>
      <c r="M26" s="1"/>
      <c r="N26" s="1"/>
      <c r="O26" s="1"/>
      <c r="P26" s="1"/>
      <c r="Q26" s="1"/>
      <c r="R26" s="1"/>
      <c r="S26" s="1"/>
      <c r="T26" s="1" t="s">
        <v>406</v>
      </c>
      <c r="U26" s="1" t="s">
        <v>407</v>
      </c>
      <c r="V26" s="1"/>
      <c r="W26" s="1"/>
      <c r="X26" s="1"/>
      <c r="Y26" s="1" t="s">
        <v>1092</v>
      </c>
      <c r="Z26" s="1" t="s">
        <v>1093</v>
      </c>
      <c r="AA26" s="1" t="s">
        <v>1094</v>
      </c>
      <c r="AB26" s="1" t="s">
        <v>1061</v>
      </c>
      <c r="AC26" s="1" t="s">
        <v>1028</v>
      </c>
      <c r="AD26" s="1" t="s">
        <v>1095</v>
      </c>
    </row>
    <row r="27" spans="1:30" ht="82.5" x14ac:dyDescent="0.3">
      <c r="A27" s="1" t="s">
        <v>149</v>
      </c>
      <c r="B27" s="1" t="s">
        <v>411</v>
      </c>
      <c r="C27" s="1" t="s">
        <v>151</v>
      </c>
      <c r="D27" s="1" t="s">
        <v>412</v>
      </c>
      <c r="E27" s="1" t="s">
        <v>413</v>
      </c>
      <c r="F27" s="1"/>
      <c r="G27" s="1" t="s">
        <v>155</v>
      </c>
      <c r="H27" s="1" t="s">
        <v>156</v>
      </c>
      <c r="I27" s="1" t="s">
        <v>157</v>
      </c>
      <c r="J27" s="1"/>
      <c r="K27" s="1" t="s">
        <v>158</v>
      </c>
      <c r="L27" s="1"/>
      <c r="M27" s="1" t="s">
        <v>159</v>
      </c>
      <c r="N27" s="1"/>
      <c r="O27" s="1" t="s">
        <v>160</v>
      </c>
      <c r="P27" s="1" t="s">
        <v>161</v>
      </c>
      <c r="Q27" s="1" t="s">
        <v>162</v>
      </c>
      <c r="R27" s="1" t="s">
        <v>163</v>
      </c>
      <c r="S27" s="1"/>
      <c r="T27" s="1"/>
      <c r="U27" s="1"/>
      <c r="V27" s="1" t="s">
        <v>414</v>
      </c>
      <c r="W27" s="1"/>
      <c r="X27" s="1"/>
      <c r="Y27" s="1" t="s">
        <v>1096</v>
      </c>
      <c r="Z27" s="1" t="s">
        <v>1097</v>
      </c>
      <c r="AA27" s="1" t="s">
        <v>1098</v>
      </c>
      <c r="AB27" s="1" t="s">
        <v>1015</v>
      </c>
      <c r="AC27" s="1" t="s">
        <v>1016</v>
      </c>
      <c r="AD27" s="1" t="s">
        <v>1017</v>
      </c>
    </row>
    <row r="28" spans="1:30" ht="82.5" x14ac:dyDescent="0.3">
      <c r="A28" s="1" t="s">
        <v>149</v>
      </c>
      <c r="B28" s="1" t="s">
        <v>417</v>
      </c>
      <c r="C28" s="1" t="s">
        <v>151</v>
      </c>
      <c r="D28" s="1" t="s">
        <v>418</v>
      </c>
      <c r="E28" s="1" t="s">
        <v>419</v>
      </c>
      <c r="F28" s="1" t="s">
        <v>396</v>
      </c>
      <c r="G28" s="1" t="s">
        <v>155</v>
      </c>
      <c r="H28" s="1" t="s">
        <v>156</v>
      </c>
      <c r="I28" s="1" t="s">
        <v>157</v>
      </c>
      <c r="J28" s="1"/>
      <c r="K28" s="1" t="s">
        <v>158</v>
      </c>
      <c r="L28" s="1"/>
      <c r="M28" s="1" t="s">
        <v>159</v>
      </c>
      <c r="N28" s="1"/>
      <c r="O28" s="1" t="s">
        <v>160</v>
      </c>
      <c r="P28" s="1" t="s">
        <v>161</v>
      </c>
      <c r="Q28" s="1" t="s">
        <v>162</v>
      </c>
      <c r="R28" s="1" t="s">
        <v>163</v>
      </c>
      <c r="S28" s="1"/>
      <c r="T28" s="1"/>
      <c r="U28" s="1"/>
      <c r="V28" s="1" t="s">
        <v>414</v>
      </c>
      <c r="W28" s="1"/>
      <c r="X28" s="1"/>
      <c r="Y28" s="1" t="s">
        <v>1099</v>
      </c>
      <c r="Z28" s="1" t="s">
        <v>1100</v>
      </c>
      <c r="AA28" s="1" t="s">
        <v>1101</v>
      </c>
      <c r="AB28" s="1" t="s">
        <v>1015</v>
      </c>
      <c r="AC28" s="1" t="s">
        <v>1016</v>
      </c>
      <c r="AD28" s="1" t="s">
        <v>1017</v>
      </c>
    </row>
    <row r="29" spans="1:30" ht="66" x14ac:dyDescent="0.3">
      <c r="A29" s="1" t="s">
        <v>149</v>
      </c>
      <c r="B29" s="1" t="s">
        <v>422</v>
      </c>
      <c r="C29" s="1" t="s">
        <v>151</v>
      </c>
      <c r="D29" s="1" t="s">
        <v>423</v>
      </c>
      <c r="E29" s="1" t="s">
        <v>424</v>
      </c>
      <c r="F29" s="1" t="s">
        <v>425</v>
      </c>
      <c r="G29" s="1" t="s">
        <v>255</v>
      </c>
      <c r="H29" s="1" t="s">
        <v>426</v>
      </c>
      <c r="I29" s="1" t="s">
        <v>427</v>
      </c>
      <c r="J29" s="1" t="s">
        <v>339</v>
      </c>
      <c r="K29" s="1" t="s">
        <v>158</v>
      </c>
      <c r="L29" s="1"/>
      <c r="M29" s="1" t="s">
        <v>210</v>
      </c>
      <c r="N29" s="1"/>
      <c r="O29" s="1" t="s">
        <v>211</v>
      </c>
      <c r="P29" s="1" t="s">
        <v>161</v>
      </c>
      <c r="Q29" s="1" t="s">
        <v>162</v>
      </c>
      <c r="R29" s="1" t="s">
        <v>212</v>
      </c>
      <c r="S29" s="1"/>
      <c r="T29" s="1"/>
      <c r="U29" s="1"/>
      <c r="V29" s="1"/>
      <c r="W29" s="1"/>
      <c r="X29" s="1"/>
      <c r="Y29" s="1" t="s">
        <v>1102</v>
      </c>
      <c r="Z29" s="1" t="s">
        <v>1103</v>
      </c>
      <c r="AA29" s="1" t="s">
        <v>1104</v>
      </c>
      <c r="AB29" s="1" t="s">
        <v>1037</v>
      </c>
      <c r="AC29" s="1" t="s">
        <v>1105</v>
      </c>
      <c r="AD29" s="1" t="s">
        <v>1017</v>
      </c>
    </row>
    <row r="30" spans="1:30" ht="82.5" x14ac:dyDescent="0.3">
      <c r="A30" s="1" t="s">
        <v>149</v>
      </c>
      <c r="B30" s="1" t="s">
        <v>430</v>
      </c>
      <c r="C30" s="1" t="s">
        <v>151</v>
      </c>
      <c r="D30" s="1" t="s">
        <v>431</v>
      </c>
      <c r="E30" s="1" t="s">
        <v>432</v>
      </c>
      <c r="F30" s="1" t="s">
        <v>396</v>
      </c>
      <c r="G30" s="1" t="s">
        <v>155</v>
      </c>
      <c r="H30" s="1" t="s">
        <v>208</v>
      </c>
      <c r="I30" s="1" t="s">
        <v>157</v>
      </c>
      <c r="J30" s="1"/>
      <c r="K30" s="1" t="s">
        <v>158</v>
      </c>
      <c r="L30" s="1"/>
      <c r="M30" s="1" t="s">
        <v>210</v>
      </c>
      <c r="N30" s="1"/>
      <c r="O30" s="1" t="s">
        <v>211</v>
      </c>
      <c r="P30" s="1" t="s">
        <v>161</v>
      </c>
      <c r="Q30" s="1" t="s">
        <v>162</v>
      </c>
      <c r="R30" s="1" t="s">
        <v>212</v>
      </c>
      <c r="S30" s="1"/>
      <c r="T30" s="1"/>
      <c r="U30" s="1" t="s">
        <v>433</v>
      </c>
      <c r="V30" s="1"/>
      <c r="W30" s="1"/>
      <c r="X30" s="1"/>
      <c r="Y30" s="1" t="s">
        <v>434</v>
      </c>
      <c r="Z30" s="1" t="s">
        <v>1106</v>
      </c>
      <c r="AA30" s="1" t="s">
        <v>1107</v>
      </c>
      <c r="AB30" s="1" t="s">
        <v>1037</v>
      </c>
      <c r="AC30" s="1" t="s">
        <v>1016</v>
      </c>
      <c r="AD30" s="1" t="s">
        <v>1017</v>
      </c>
    </row>
    <row r="31" spans="1:30" ht="82.5" x14ac:dyDescent="0.3">
      <c r="A31" s="1" t="s">
        <v>149</v>
      </c>
      <c r="B31" s="1" t="s">
        <v>436</v>
      </c>
      <c r="C31" s="1" t="s">
        <v>151</v>
      </c>
      <c r="D31" s="1" t="s">
        <v>437</v>
      </c>
      <c r="E31" s="1" t="s">
        <v>438</v>
      </c>
      <c r="F31" s="1" t="s">
        <v>396</v>
      </c>
      <c r="G31" s="1" t="s">
        <v>296</v>
      </c>
      <c r="H31" s="1" t="s">
        <v>369</v>
      </c>
      <c r="I31" s="1" t="s">
        <v>220</v>
      </c>
      <c r="J31" s="1" t="s">
        <v>439</v>
      </c>
      <c r="K31" s="1" t="s">
        <v>158</v>
      </c>
      <c r="L31" s="1" t="s">
        <v>221</v>
      </c>
      <c r="M31" s="1"/>
      <c r="N31" s="1"/>
      <c r="O31" s="1"/>
      <c r="P31" s="1"/>
      <c r="Q31" s="1"/>
      <c r="R31" s="1"/>
      <c r="S31" s="1"/>
      <c r="T31" s="1" t="s">
        <v>440</v>
      </c>
      <c r="U31" s="1" t="s">
        <v>441</v>
      </c>
      <c r="V31" s="1" t="s">
        <v>442</v>
      </c>
      <c r="W31" s="1" t="s">
        <v>329</v>
      </c>
      <c r="X31" s="1"/>
      <c r="Y31" s="1" t="s">
        <v>443</v>
      </c>
      <c r="Z31" s="1" t="s">
        <v>1108</v>
      </c>
      <c r="AA31" s="1" t="s">
        <v>1109</v>
      </c>
      <c r="AB31" s="1" t="s">
        <v>1061</v>
      </c>
      <c r="AC31" s="1" t="s">
        <v>1033</v>
      </c>
      <c r="AD31" s="1" t="s">
        <v>1091</v>
      </c>
    </row>
    <row r="32" spans="1:30" ht="82.5" x14ac:dyDescent="0.3">
      <c r="A32" s="1" t="s">
        <v>149</v>
      </c>
      <c r="B32" s="1" t="s">
        <v>445</v>
      </c>
      <c r="C32" s="1" t="s">
        <v>151</v>
      </c>
      <c r="D32" s="1" t="s">
        <v>446</v>
      </c>
      <c r="E32" s="1" t="s">
        <v>447</v>
      </c>
      <c r="F32" s="1" t="s">
        <v>184</v>
      </c>
      <c r="G32" s="1" t="s">
        <v>169</v>
      </c>
      <c r="H32" s="1" t="s">
        <v>448</v>
      </c>
      <c r="I32" s="1" t="s">
        <v>196</v>
      </c>
      <c r="J32" s="1" t="s">
        <v>449</v>
      </c>
      <c r="K32" s="1" t="s">
        <v>158</v>
      </c>
      <c r="L32" s="1" t="s">
        <v>450</v>
      </c>
      <c r="M32" s="1"/>
      <c r="N32" s="1"/>
      <c r="O32" s="1"/>
      <c r="P32" s="1"/>
      <c r="Q32" s="1"/>
      <c r="R32" s="1" t="s">
        <v>189</v>
      </c>
      <c r="S32" s="1" t="s">
        <v>451</v>
      </c>
      <c r="T32" s="1" t="s">
        <v>452</v>
      </c>
      <c r="U32" s="1" t="s">
        <v>453</v>
      </c>
      <c r="V32" s="1" t="s">
        <v>454</v>
      </c>
      <c r="W32" s="1"/>
      <c r="X32" s="1"/>
      <c r="Y32" s="1" t="s">
        <v>1110</v>
      </c>
      <c r="Z32" s="1" t="s">
        <v>1111</v>
      </c>
      <c r="AA32" s="1" t="s">
        <v>1112</v>
      </c>
      <c r="AB32" s="1" t="s">
        <v>1058</v>
      </c>
      <c r="AC32" s="1" t="s">
        <v>1022</v>
      </c>
      <c r="AD32" s="1" t="s">
        <v>1023</v>
      </c>
    </row>
    <row r="33" spans="1:30" ht="66" x14ac:dyDescent="0.3">
      <c r="A33" s="1" t="s">
        <v>149</v>
      </c>
      <c r="B33" s="1" t="s">
        <v>457</v>
      </c>
      <c r="C33" s="1" t="s">
        <v>151</v>
      </c>
      <c r="D33" s="1" t="s">
        <v>458</v>
      </c>
      <c r="E33" s="1" t="s">
        <v>459</v>
      </c>
      <c r="F33" s="1" t="s">
        <v>244</v>
      </c>
      <c r="G33" s="1" t="s">
        <v>296</v>
      </c>
      <c r="H33" s="1" t="s">
        <v>316</v>
      </c>
      <c r="I33" s="1" t="s">
        <v>220</v>
      </c>
      <c r="J33" s="1" t="s">
        <v>172</v>
      </c>
      <c r="K33" s="1" t="s">
        <v>158</v>
      </c>
      <c r="L33" s="1" t="s">
        <v>221</v>
      </c>
      <c r="M33" s="1"/>
      <c r="N33" s="1"/>
      <c r="O33" s="1"/>
      <c r="P33" s="1"/>
      <c r="Q33" s="1"/>
      <c r="R33" s="1" t="s">
        <v>189</v>
      </c>
      <c r="S33" s="1"/>
      <c r="T33" s="1" t="s">
        <v>460</v>
      </c>
      <c r="U33" s="1" t="s">
        <v>461</v>
      </c>
      <c r="V33" s="1"/>
      <c r="W33" s="1" t="s">
        <v>329</v>
      </c>
      <c r="X33" s="1"/>
      <c r="Y33" s="1" t="s">
        <v>462</v>
      </c>
      <c r="Z33" s="1" t="s">
        <v>1113</v>
      </c>
      <c r="AA33" s="1" t="s">
        <v>1114</v>
      </c>
      <c r="AB33" s="1" t="s">
        <v>1061</v>
      </c>
      <c r="AC33" s="1" t="s">
        <v>1028</v>
      </c>
      <c r="AD33" s="1" t="s">
        <v>1095</v>
      </c>
    </row>
    <row r="34" spans="1:30" ht="66" x14ac:dyDescent="0.3">
      <c r="A34" s="1" t="s">
        <v>149</v>
      </c>
      <c r="B34" s="1" t="s">
        <v>464</v>
      </c>
      <c r="C34" s="1" t="s">
        <v>151</v>
      </c>
      <c r="D34" s="1" t="s">
        <v>465</v>
      </c>
      <c r="E34" s="1" t="s">
        <v>466</v>
      </c>
      <c r="F34" s="1" t="s">
        <v>244</v>
      </c>
      <c r="G34" s="1" t="s">
        <v>169</v>
      </c>
      <c r="H34" s="1" t="s">
        <v>397</v>
      </c>
      <c r="I34" s="1" t="s">
        <v>298</v>
      </c>
      <c r="J34" s="1"/>
      <c r="K34" s="1" t="s">
        <v>158</v>
      </c>
      <c r="L34" s="1" t="s">
        <v>221</v>
      </c>
      <c r="M34" s="1"/>
      <c r="N34" s="1"/>
      <c r="O34" s="1"/>
      <c r="P34" s="1"/>
      <c r="Q34" s="1"/>
      <c r="R34" s="1" t="s">
        <v>189</v>
      </c>
      <c r="S34" s="1"/>
      <c r="T34" s="1" t="s">
        <v>467</v>
      </c>
      <c r="U34" s="1" t="s">
        <v>468</v>
      </c>
      <c r="V34" s="1"/>
      <c r="W34" s="1"/>
      <c r="X34" s="1"/>
      <c r="Y34" s="1" t="s">
        <v>1115</v>
      </c>
      <c r="Z34" s="1" t="s">
        <v>1116</v>
      </c>
      <c r="AA34" s="1" t="s">
        <v>1117</v>
      </c>
      <c r="AB34" s="1" t="s">
        <v>1042</v>
      </c>
      <c r="AC34" s="1" t="s">
        <v>1090</v>
      </c>
      <c r="AD34" s="1" t="s">
        <v>1095</v>
      </c>
    </row>
    <row r="35" spans="1:30" ht="66" x14ac:dyDescent="0.3">
      <c r="A35" s="1" t="s">
        <v>149</v>
      </c>
      <c r="B35" s="1" t="s">
        <v>471</v>
      </c>
      <c r="C35" s="1" t="s">
        <v>151</v>
      </c>
      <c r="D35" s="1" t="s">
        <v>472</v>
      </c>
      <c r="E35" s="1" t="s">
        <v>473</v>
      </c>
      <c r="F35" s="1" t="s">
        <v>336</v>
      </c>
      <c r="G35" s="1" t="s">
        <v>337</v>
      </c>
      <c r="H35" s="1" t="s">
        <v>378</v>
      </c>
      <c r="I35" s="1" t="s">
        <v>220</v>
      </c>
      <c r="J35" s="1" t="s">
        <v>339</v>
      </c>
      <c r="K35" s="1" t="s">
        <v>158</v>
      </c>
      <c r="L35" s="1" t="s">
        <v>299</v>
      </c>
      <c r="M35" s="1"/>
      <c r="N35" s="1"/>
      <c r="O35" s="1"/>
      <c r="P35" s="1"/>
      <c r="Q35" s="1"/>
      <c r="R35" s="1" t="s">
        <v>189</v>
      </c>
      <c r="S35" s="1" t="s">
        <v>300</v>
      </c>
      <c r="T35" s="1"/>
      <c r="U35" s="1"/>
      <c r="V35" s="1"/>
      <c r="W35" s="1"/>
      <c r="X35" s="1"/>
      <c r="Y35" s="1" t="s">
        <v>1118</v>
      </c>
      <c r="Z35" s="1" t="s">
        <v>1119</v>
      </c>
      <c r="AA35" s="1" t="s">
        <v>1120</v>
      </c>
      <c r="AB35" s="1" t="s">
        <v>1081</v>
      </c>
      <c r="AC35" s="1" t="s">
        <v>1022</v>
      </c>
      <c r="AD35" s="1" t="s">
        <v>1121</v>
      </c>
    </row>
    <row r="36" spans="1:30" ht="66" x14ac:dyDescent="0.3">
      <c r="A36" s="1" t="s">
        <v>149</v>
      </c>
      <c r="B36" s="1" t="s">
        <v>476</v>
      </c>
      <c r="C36" s="1" t="s">
        <v>151</v>
      </c>
      <c r="D36" s="1" t="s">
        <v>477</v>
      </c>
      <c r="E36" s="1" t="s">
        <v>478</v>
      </c>
      <c r="F36" s="1"/>
      <c r="G36" s="1" t="s">
        <v>155</v>
      </c>
      <c r="H36" s="1" t="s">
        <v>156</v>
      </c>
      <c r="I36" s="1" t="s">
        <v>157</v>
      </c>
      <c r="J36" s="1"/>
      <c r="K36" s="1" t="s">
        <v>158</v>
      </c>
      <c r="L36" s="1"/>
      <c r="M36" s="1" t="s">
        <v>479</v>
      </c>
      <c r="N36" s="1"/>
      <c r="O36" s="1" t="s">
        <v>160</v>
      </c>
      <c r="P36" s="1" t="s">
        <v>161</v>
      </c>
      <c r="Q36" s="1" t="s">
        <v>162</v>
      </c>
      <c r="R36" s="1" t="s">
        <v>213</v>
      </c>
      <c r="S36" s="1"/>
      <c r="T36" s="1"/>
      <c r="U36" s="1"/>
      <c r="V36" s="1"/>
      <c r="W36" s="1"/>
      <c r="X36" s="1"/>
      <c r="Y36" s="1" t="s">
        <v>1122</v>
      </c>
      <c r="Z36" s="1" t="s">
        <v>1123</v>
      </c>
      <c r="AA36" s="1" t="s">
        <v>1124</v>
      </c>
      <c r="AB36" s="1" t="s">
        <v>1015</v>
      </c>
      <c r="AC36" s="1" t="s">
        <v>1016</v>
      </c>
      <c r="AD36" s="1" t="s">
        <v>1017</v>
      </c>
    </row>
    <row r="37" spans="1:30" ht="82.5" x14ac:dyDescent="0.3">
      <c r="A37" s="1" t="s">
        <v>149</v>
      </c>
      <c r="B37" s="1" t="s">
        <v>482</v>
      </c>
      <c r="C37" s="1" t="s">
        <v>151</v>
      </c>
      <c r="D37" s="1" t="s">
        <v>483</v>
      </c>
      <c r="E37" s="1" t="s">
        <v>484</v>
      </c>
      <c r="F37" s="1"/>
      <c r="G37" s="1" t="s">
        <v>296</v>
      </c>
      <c r="H37" s="1" t="s">
        <v>316</v>
      </c>
      <c r="I37" s="1" t="s">
        <v>220</v>
      </c>
      <c r="J37" s="1"/>
      <c r="K37" s="1" t="s">
        <v>158</v>
      </c>
      <c r="L37" s="1" t="s">
        <v>221</v>
      </c>
      <c r="M37" s="1"/>
      <c r="N37" s="1"/>
      <c r="O37" s="1"/>
      <c r="P37" s="1"/>
      <c r="Q37" s="1"/>
      <c r="R37" s="1" t="s">
        <v>189</v>
      </c>
      <c r="S37" s="1"/>
      <c r="T37" s="1" t="s">
        <v>485</v>
      </c>
      <c r="U37" s="1" t="s">
        <v>486</v>
      </c>
      <c r="V37" s="1" t="s">
        <v>163</v>
      </c>
      <c r="W37" s="1"/>
      <c r="X37" s="1"/>
      <c r="Y37" s="1"/>
      <c r="Z37" s="1" t="s">
        <v>1125</v>
      </c>
      <c r="AA37" s="1" t="s">
        <v>1126</v>
      </c>
      <c r="AB37" s="1" t="s">
        <v>1064</v>
      </c>
      <c r="AC37" s="1" t="s">
        <v>1028</v>
      </c>
      <c r="AD37" s="1" t="s">
        <v>1063</v>
      </c>
    </row>
    <row r="38" spans="1:30" ht="66" x14ac:dyDescent="0.3">
      <c r="A38" s="1" t="s">
        <v>149</v>
      </c>
      <c r="B38" s="1" t="s">
        <v>488</v>
      </c>
      <c r="C38" s="1" t="s">
        <v>151</v>
      </c>
      <c r="D38" s="1" t="s">
        <v>489</v>
      </c>
      <c r="E38" s="1" t="s">
        <v>490</v>
      </c>
      <c r="F38" s="1" t="s">
        <v>336</v>
      </c>
      <c r="G38" s="1" t="s">
        <v>296</v>
      </c>
      <c r="H38" s="1" t="s">
        <v>491</v>
      </c>
      <c r="I38" s="1" t="s">
        <v>492</v>
      </c>
      <c r="J38" s="1"/>
      <c r="K38" s="1" t="s">
        <v>158</v>
      </c>
      <c r="L38" s="1" t="s">
        <v>493</v>
      </c>
      <c r="M38" s="1"/>
      <c r="N38" s="1"/>
      <c r="O38" s="1"/>
      <c r="P38" s="1"/>
      <c r="Q38" s="1"/>
      <c r="R38" s="1" t="s">
        <v>174</v>
      </c>
      <c r="S38" s="1" t="s">
        <v>494</v>
      </c>
      <c r="T38" s="1" t="s">
        <v>495</v>
      </c>
      <c r="U38" s="1" t="s">
        <v>496</v>
      </c>
      <c r="V38" s="1"/>
      <c r="W38" s="1"/>
      <c r="X38" s="1"/>
      <c r="Y38" s="1" t="s">
        <v>1127</v>
      </c>
      <c r="Z38" s="1" t="s">
        <v>1128</v>
      </c>
      <c r="AA38" s="1" t="s">
        <v>1129</v>
      </c>
      <c r="AB38" s="1" t="s">
        <v>1130</v>
      </c>
      <c r="AC38" s="1" t="s">
        <v>1062</v>
      </c>
      <c r="AD38" s="1" t="s">
        <v>1029</v>
      </c>
    </row>
    <row r="39" spans="1:30" ht="82.5" x14ac:dyDescent="0.3">
      <c r="A39" s="1" t="s">
        <v>149</v>
      </c>
      <c r="B39" s="1" t="s">
        <v>499</v>
      </c>
      <c r="C39" s="1" t="s">
        <v>151</v>
      </c>
      <c r="D39" s="1" t="s">
        <v>500</v>
      </c>
      <c r="E39" s="1" t="s">
        <v>295</v>
      </c>
      <c r="F39" s="1"/>
      <c r="G39" s="1" t="s">
        <v>296</v>
      </c>
      <c r="H39" s="1" t="s">
        <v>297</v>
      </c>
      <c r="I39" s="1" t="s">
        <v>298</v>
      </c>
      <c r="J39" s="1"/>
      <c r="K39" s="1" t="s">
        <v>158</v>
      </c>
      <c r="L39" s="1" t="s">
        <v>501</v>
      </c>
      <c r="M39" s="1"/>
      <c r="N39" s="1"/>
      <c r="O39" s="1"/>
      <c r="P39" s="1"/>
      <c r="Q39" s="1"/>
      <c r="R39" s="1" t="s">
        <v>174</v>
      </c>
      <c r="S39" s="1" t="s">
        <v>278</v>
      </c>
      <c r="T39" s="1" t="s">
        <v>502</v>
      </c>
      <c r="U39" s="1" t="s">
        <v>503</v>
      </c>
      <c r="V39" s="1"/>
      <c r="W39" s="1"/>
      <c r="X39" s="1"/>
      <c r="Y39" s="1"/>
      <c r="Z39" s="1" t="s">
        <v>1131</v>
      </c>
      <c r="AA39" s="1" t="s">
        <v>1132</v>
      </c>
      <c r="AB39" s="1" t="s">
        <v>1061</v>
      </c>
      <c r="AC39" s="1" t="s">
        <v>1062</v>
      </c>
      <c r="AD39" s="1" t="s">
        <v>1063</v>
      </c>
    </row>
    <row r="40" spans="1:30" ht="66" x14ac:dyDescent="0.3">
      <c r="A40" s="1" t="s">
        <v>149</v>
      </c>
      <c r="B40" s="1" t="s">
        <v>505</v>
      </c>
      <c r="C40" s="1" t="s">
        <v>151</v>
      </c>
      <c r="D40" s="1" t="s">
        <v>506</v>
      </c>
      <c r="E40" s="1" t="s">
        <v>507</v>
      </c>
      <c r="F40" s="1" t="s">
        <v>336</v>
      </c>
      <c r="G40" s="1" t="s">
        <v>296</v>
      </c>
      <c r="H40" s="1" t="s">
        <v>316</v>
      </c>
      <c r="I40" s="1" t="s">
        <v>370</v>
      </c>
      <c r="J40" s="1" t="s">
        <v>508</v>
      </c>
      <c r="K40" s="1" t="s">
        <v>158</v>
      </c>
      <c r="L40" s="1" t="s">
        <v>221</v>
      </c>
      <c r="M40" s="1"/>
      <c r="N40" s="1"/>
      <c r="O40" s="1"/>
      <c r="P40" s="1"/>
      <c r="Q40" s="1"/>
      <c r="R40" s="1" t="s">
        <v>189</v>
      </c>
      <c r="S40" s="1"/>
      <c r="T40" s="1" t="s">
        <v>509</v>
      </c>
      <c r="U40" s="1" t="s">
        <v>510</v>
      </c>
      <c r="V40" s="1"/>
      <c r="W40" s="1"/>
      <c r="X40" s="1"/>
      <c r="Y40" s="1" t="s">
        <v>1133</v>
      </c>
      <c r="Z40" s="1" t="s">
        <v>1134</v>
      </c>
      <c r="AA40" s="1" t="s">
        <v>1135</v>
      </c>
      <c r="AB40" s="1" t="s">
        <v>1064</v>
      </c>
      <c r="AC40" s="1" t="s">
        <v>1136</v>
      </c>
      <c r="AD40" s="1" t="s">
        <v>1137</v>
      </c>
    </row>
    <row r="41" spans="1:30" ht="82.5" x14ac:dyDescent="0.3">
      <c r="A41" s="1" t="s">
        <v>149</v>
      </c>
      <c r="B41" s="1" t="s">
        <v>513</v>
      </c>
      <c r="C41" s="1" t="s">
        <v>151</v>
      </c>
      <c r="D41" s="1" t="s">
        <v>514</v>
      </c>
      <c r="E41" s="1" t="s">
        <v>515</v>
      </c>
      <c r="F41" s="1" t="s">
        <v>244</v>
      </c>
      <c r="G41" s="1" t="s">
        <v>155</v>
      </c>
      <c r="H41" s="1" t="s">
        <v>185</v>
      </c>
      <c r="I41" s="1" t="s">
        <v>516</v>
      </c>
      <c r="J41" s="1"/>
      <c r="K41" s="1" t="s">
        <v>158</v>
      </c>
      <c r="L41" s="1" t="s">
        <v>517</v>
      </c>
      <c r="M41" s="1"/>
      <c r="N41" s="1"/>
      <c r="O41" s="1"/>
      <c r="P41" s="1"/>
      <c r="Q41" s="1" t="s">
        <v>518</v>
      </c>
      <c r="R41" s="1" t="s">
        <v>189</v>
      </c>
      <c r="S41" s="1"/>
      <c r="T41" s="1"/>
      <c r="U41" s="1" t="s">
        <v>519</v>
      </c>
      <c r="V41" s="1"/>
      <c r="W41" s="1"/>
      <c r="X41" s="1"/>
      <c r="Y41" s="1" t="s">
        <v>1138</v>
      </c>
      <c r="Z41" s="1" t="s">
        <v>521</v>
      </c>
      <c r="AA41" s="1" t="s">
        <v>1139</v>
      </c>
      <c r="AB41" s="1" t="s">
        <v>1027</v>
      </c>
      <c r="AC41" s="1" t="s">
        <v>1028</v>
      </c>
      <c r="AD41" s="1" t="s">
        <v>1029</v>
      </c>
    </row>
    <row r="42" spans="1:30" ht="66" x14ac:dyDescent="0.3">
      <c r="A42" s="1" t="s">
        <v>149</v>
      </c>
      <c r="B42" s="1" t="s">
        <v>522</v>
      </c>
      <c r="C42" s="1" t="s">
        <v>151</v>
      </c>
      <c r="D42" s="1" t="s">
        <v>523</v>
      </c>
      <c r="E42" s="1" t="s">
        <v>524</v>
      </c>
      <c r="F42" s="1" t="s">
        <v>244</v>
      </c>
      <c r="G42" s="1" t="s">
        <v>155</v>
      </c>
      <c r="H42" s="1" t="s">
        <v>525</v>
      </c>
      <c r="I42" s="1" t="s">
        <v>220</v>
      </c>
      <c r="J42" s="1" t="s">
        <v>508</v>
      </c>
      <c r="K42" s="1" t="s">
        <v>158</v>
      </c>
      <c r="L42" s="1" t="s">
        <v>526</v>
      </c>
      <c r="M42" s="1"/>
      <c r="N42" s="1"/>
      <c r="O42" s="1"/>
      <c r="P42" s="1"/>
      <c r="Q42" s="1" t="s">
        <v>518</v>
      </c>
      <c r="R42" s="1" t="s">
        <v>174</v>
      </c>
      <c r="S42" s="1"/>
      <c r="T42" s="1"/>
      <c r="U42" s="1" t="s">
        <v>527</v>
      </c>
      <c r="V42" s="1" t="s">
        <v>363</v>
      </c>
      <c r="W42" s="1" t="s">
        <v>528</v>
      </c>
      <c r="X42" s="1"/>
      <c r="Y42" s="1" t="s">
        <v>529</v>
      </c>
      <c r="Z42" s="1" t="s">
        <v>1140</v>
      </c>
      <c r="AA42" s="1" t="s">
        <v>1141</v>
      </c>
      <c r="AB42" s="1" t="s">
        <v>1142</v>
      </c>
      <c r="AC42" s="1" t="s">
        <v>1033</v>
      </c>
      <c r="AD42" s="1" t="s">
        <v>1095</v>
      </c>
    </row>
    <row r="43" spans="1:30" ht="66" x14ac:dyDescent="0.3">
      <c r="A43" s="1" t="s">
        <v>149</v>
      </c>
      <c r="B43" s="1" t="s">
        <v>531</v>
      </c>
      <c r="C43" s="1" t="s">
        <v>151</v>
      </c>
      <c r="D43" s="1" t="s">
        <v>532</v>
      </c>
      <c r="E43" s="1" t="s">
        <v>533</v>
      </c>
      <c r="F43" s="1" t="s">
        <v>336</v>
      </c>
      <c r="G43" s="1" t="s">
        <v>155</v>
      </c>
      <c r="H43" s="1" t="s">
        <v>534</v>
      </c>
      <c r="I43" s="1" t="s">
        <v>535</v>
      </c>
      <c r="J43" s="1" t="s">
        <v>508</v>
      </c>
      <c r="K43" s="1" t="s">
        <v>158</v>
      </c>
      <c r="L43" s="1" t="s">
        <v>536</v>
      </c>
      <c r="M43" s="1"/>
      <c r="N43" s="1"/>
      <c r="O43" s="1"/>
      <c r="P43" s="1"/>
      <c r="Q43" s="1" t="s">
        <v>537</v>
      </c>
      <c r="R43" s="1"/>
      <c r="S43" s="1"/>
      <c r="T43" s="1"/>
      <c r="U43" s="1"/>
      <c r="V43" s="1" t="s">
        <v>538</v>
      </c>
      <c r="W43" s="1"/>
      <c r="X43" s="1"/>
      <c r="Y43" s="1" t="s">
        <v>1143</v>
      </c>
      <c r="Z43" s="1" t="s">
        <v>1144</v>
      </c>
      <c r="AA43" s="1" t="s">
        <v>1145</v>
      </c>
      <c r="AB43" s="1" t="s">
        <v>1130</v>
      </c>
      <c r="AC43" s="1" t="s">
        <v>1146</v>
      </c>
      <c r="AD43" s="1" t="s">
        <v>1029</v>
      </c>
    </row>
    <row r="44" spans="1:30" ht="82.5" x14ac:dyDescent="0.3">
      <c r="A44" s="1" t="s">
        <v>149</v>
      </c>
      <c r="B44" s="1" t="s">
        <v>541</v>
      </c>
      <c r="C44" s="1" t="s">
        <v>151</v>
      </c>
      <c r="D44" s="1" t="s">
        <v>542</v>
      </c>
      <c r="E44" s="1" t="s">
        <v>543</v>
      </c>
      <c r="F44" s="1" t="s">
        <v>154</v>
      </c>
      <c r="G44" s="1" t="s">
        <v>155</v>
      </c>
      <c r="H44" s="1" t="s">
        <v>378</v>
      </c>
      <c r="I44" s="1" t="s">
        <v>220</v>
      </c>
      <c r="J44" s="1"/>
      <c r="K44" s="1" t="s">
        <v>158</v>
      </c>
      <c r="L44" s="1" t="s">
        <v>517</v>
      </c>
      <c r="M44" s="1"/>
      <c r="N44" s="1"/>
      <c r="O44" s="1"/>
      <c r="P44" s="1"/>
      <c r="Q44" s="1" t="s">
        <v>518</v>
      </c>
      <c r="R44" s="1" t="s">
        <v>189</v>
      </c>
      <c r="S44" s="1"/>
      <c r="T44" s="1"/>
      <c r="U44" s="1" t="s">
        <v>527</v>
      </c>
      <c r="V44" s="1"/>
      <c r="W44" s="1"/>
      <c r="X44" s="1"/>
      <c r="Y44" s="1" t="s">
        <v>544</v>
      </c>
      <c r="Z44" s="1" t="s">
        <v>1147</v>
      </c>
      <c r="AA44" s="1" t="s">
        <v>1148</v>
      </c>
      <c r="AB44" s="1" t="s">
        <v>1142</v>
      </c>
      <c r="AC44" s="1" t="s">
        <v>1028</v>
      </c>
      <c r="AD44" s="1" t="s">
        <v>1043</v>
      </c>
    </row>
    <row r="45" spans="1:30" ht="82.5" x14ac:dyDescent="0.3">
      <c r="A45" s="1" t="s">
        <v>149</v>
      </c>
      <c r="B45" s="1" t="s">
        <v>546</v>
      </c>
      <c r="C45" s="1" t="s">
        <v>151</v>
      </c>
      <c r="D45" s="1" t="s">
        <v>547</v>
      </c>
      <c r="E45" s="1" t="s">
        <v>548</v>
      </c>
      <c r="F45" s="1" t="s">
        <v>396</v>
      </c>
      <c r="G45" s="1" t="s">
        <v>155</v>
      </c>
      <c r="H45" s="1" t="s">
        <v>298</v>
      </c>
      <c r="I45" s="1" t="s">
        <v>298</v>
      </c>
      <c r="J45" s="1"/>
      <c r="K45" s="1" t="s">
        <v>158</v>
      </c>
      <c r="L45" s="1" t="s">
        <v>549</v>
      </c>
      <c r="M45" s="1"/>
      <c r="N45" s="1"/>
      <c r="O45" s="1"/>
      <c r="P45" s="1"/>
      <c r="Q45" s="1" t="s">
        <v>188</v>
      </c>
      <c r="R45" s="1" t="s">
        <v>174</v>
      </c>
      <c r="S45" s="1"/>
      <c r="T45" s="1"/>
      <c r="U45" s="1" t="s">
        <v>550</v>
      </c>
      <c r="V45" s="1"/>
      <c r="W45" s="1"/>
      <c r="X45" s="1"/>
      <c r="Y45" s="1" t="s">
        <v>544</v>
      </c>
      <c r="Z45" s="1" t="s">
        <v>1149</v>
      </c>
      <c r="AA45" s="1" t="s">
        <v>1150</v>
      </c>
      <c r="AB45" s="1" t="s">
        <v>1142</v>
      </c>
      <c r="AC45" s="1" t="s">
        <v>1062</v>
      </c>
      <c r="AD45" s="1" t="s">
        <v>1091</v>
      </c>
    </row>
    <row r="46" spans="1:30" ht="82.5" x14ac:dyDescent="0.3">
      <c r="A46" s="1" t="s">
        <v>149</v>
      </c>
      <c r="B46" s="1" t="s">
        <v>552</v>
      </c>
      <c r="C46" s="1" t="s">
        <v>151</v>
      </c>
      <c r="D46" s="1" t="s">
        <v>553</v>
      </c>
      <c r="E46" s="1" t="s">
        <v>554</v>
      </c>
      <c r="F46" s="1" t="s">
        <v>154</v>
      </c>
      <c r="G46" s="1" t="s">
        <v>155</v>
      </c>
      <c r="H46" s="1" t="s">
        <v>525</v>
      </c>
      <c r="I46" s="1" t="s">
        <v>220</v>
      </c>
      <c r="J46" s="1" t="s">
        <v>324</v>
      </c>
      <c r="K46" s="1" t="s">
        <v>158</v>
      </c>
      <c r="L46" s="1" t="s">
        <v>555</v>
      </c>
      <c r="M46" s="1"/>
      <c r="N46" s="1"/>
      <c r="O46" s="1"/>
      <c r="P46" s="1"/>
      <c r="Q46" s="1" t="s">
        <v>556</v>
      </c>
      <c r="R46" s="1"/>
      <c r="S46" s="1"/>
      <c r="T46" s="1"/>
      <c r="U46" s="1" t="s">
        <v>557</v>
      </c>
      <c r="V46" s="1" t="s">
        <v>558</v>
      </c>
      <c r="W46" s="1" t="s">
        <v>559</v>
      </c>
      <c r="X46" s="1"/>
      <c r="Y46" s="1" t="s">
        <v>1151</v>
      </c>
      <c r="Z46" s="1" t="s">
        <v>1152</v>
      </c>
      <c r="AA46" s="1" t="s">
        <v>1153</v>
      </c>
      <c r="AB46" s="1" t="s">
        <v>1142</v>
      </c>
      <c r="AC46" s="1" t="s">
        <v>1028</v>
      </c>
      <c r="AD46" s="1" t="s">
        <v>1043</v>
      </c>
    </row>
    <row r="47" spans="1:30" ht="82.5" x14ac:dyDescent="0.3">
      <c r="A47" s="1" t="s">
        <v>149</v>
      </c>
      <c r="B47" s="1" t="s">
        <v>563</v>
      </c>
      <c r="C47" s="1" t="s">
        <v>151</v>
      </c>
      <c r="D47" s="1" t="s">
        <v>564</v>
      </c>
      <c r="E47" s="1" t="s">
        <v>565</v>
      </c>
      <c r="F47" s="1" t="s">
        <v>336</v>
      </c>
      <c r="G47" s="1" t="s">
        <v>155</v>
      </c>
      <c r="H47" s="1" t="s">
        <v>378</v>
      </c>
      <c r="I47" s="1" t="s">
        <v>220</v>
      </c>
      <c r="J47" s="1"/>
      <c r="K47" s="1" t="s">
        <v>158</v>
      </c>
      <c r="L47" s="1" t="s">
        <v>566</v>
      </c>
      <c r="M47" s="1"/>
      <c r="N47" s="1"/>
      <c r="O47" s="1"/>
      <c r="P47" s="1"/>
      <c r="Q47" s="1" t="s">
        <v>556</v>
      </c>
      <c r="R47" s="1" t="s">
        <v>212</v>
      </c>
      <c r="S47" s="1"/>
      <c r="T47" s="1"/>
      <c r="U47" s="1" t="s">
        <v>567</v>
      </c>
      <c r="V47" s="1"/>
      <c r="W47" s="1"/>
      <c r="X47" s="1"/>
      <c r="Y47" s="1" t="s">
        <v>1154</v>
      </c>
      <c r="Z47" s="1" t="s">
        <v>1155</v>
      </c>
      <c r="AA47" s="1" t="s">
        <v>1156</v>
      </c>
      <c r="AB47" s="1" t="s">
        <v>1142</v>
      </c>
      <c r="AC47" s="1" t="s">
        <v>1028</v>
      </c>
      <c r="AD47" s="1" t="s">
        <v>1137</v>
      </c>
    </row>
    <row r="48" spans="1:30" ht="82.5" x14ac:dyDescent="0.3">
      <c r="A48" s="1" t="s">
        <v>149</v>
      </c>
      <c r="B48" s="1" t="s">
        <v>570</v>
      </c>
      <c r="C48" s="1" t="s">
        <v>151</v>
      </c>
      <c r="D48" s="1" t="s">
        <v>571</v>
      </c>
      <c r="E48" s="1" t="s">
        <v>548</v>
      </c>
      <c r="F48" s="1" t="s">
        <v>396</v>
      </c>
      <c r="G48" s="1" t="s">
        <v>155</v>
      </c>
      <c r="H48" s="1" t="s">
        <v>298</v>
      </c>
      <c r="I48" s="1" t="s">
        <v>298</v>
      </c>
      <c r="J48" s="1" t="s">
        <v>572</v>
      </c>
      <c r="K48" s="1" t="s">
        <v>158</v>
      </c>
      <c r="L48" s="1" t="s">
        <v>573</v>
      </c>
      <c r="M48" s="1"/>
      <c r="N48" s="1"/>
      <c r="O48" s="1"/>
      <c r="P48" s="1"/>
      <c r="Q48" s="1" t="s">
        <v>574</v>
      </c>
      <c r="R48" s="1"/>
      <c r="S48" s="1"/>
      <c r="T48" s="1"/>
      <c r="U48" s="1" t="s">
        <v>575</v>
      </c>
      <c r="V48" s="1"/>
      <c r="W48" s="1" t="s">
        <v>576</v>
      </c>
      <c r="X48" s="1"/>
      <c r="Y48" s="1" t="s">
        <v>1157</v>
      </c>
      <c r="Z48" s="1" t="s">
        <v>1158</v>
      </c>
      <c r="AA48" s="1" t="s">
        <v>1159</v>
      </c>
      <c r="AB48" s="1" t="s">
        <v>1142</v>
      </c>
      <c r="AC48" s="1" t="s">
        <v>1160</v>
      </c>
      <c r="AD48" s="1" t="s">
        <v>1091</v>
      </c>
    </row>
    <row r="49" spans="1:30" ht="66" x14ac:dyDescent="0.3">
      <c r="A49" s="1" t="s">
        <v>149</v>
      </c>
      <c r="B49" s="1" t="s">
        <v>579</v>
      </c>
      <c r="C49" s="1" t="s">
        <v>151</v>
      </c>
      <c r="D49" s="1" t="s">
        <v>580</v>
      </c>
      <c r="E49" s="1" t="s">
        <v>581</v>
      </c>
      <c r="F49" s="1" t="s">
        <v>244</v>
      </c>
      <c r="G49" s="1" t="s">
        <v>155</v>
      </c>
      <c r="H49" s="1" t="s">
        <v>208</v>
      </c>
      <c r="I49" s="1" t="s">
        <v>209</v>
      </c>
      <c r="J49" s="1" t="s">
        <v>172</v>
      </c>
      <c r="K49" s="1" t="s">
        <v>158</v>
      </c>
      <c r="L49" s="1"/>
      <c r="M49" s="1" t="s">
        <v>210</v>
      </c>
      <c r="N49" s="1"/>
      <c r="O49" s="1" t="s">
        <v>211</v>
      </c>
      <c r="P49" s="1" t="s">
        <v>161</v>
      </c>
      <c r="Q49" s="1" t="s">
        <v>162</v>
      </c>
      <c r="R49" s="1" t="s">
        <v>212</v>
      </c>
      <c r="S49" s="1"/>
      <c r="T49" s="1"/>
      <c r="U49" s="1"/>
      <c r="V49" s="1" t="s">
        <v>582</v>
      </c>
      <c r="W49" s="1"/>
      <c r="X49" s="1"/>
      <c r="Y49" s="1" t="s">
        <v>583</v>
      </c>
      <c r="Z49" s="1" t="s">
        <v>1161</v>
      </c>
      <c r="AA49" s="1" t="s">
        <v>1162</v>
      </c>
      <c r="AB49" s="1" t="s">
        <v>1037</v>
      </c>
      <c r="AC49" s="1" t="s">
        <v>1016</v>
      </c>
      <c r="AD49" s="1" t="s">
        <v>1017</v>
      </c>
    </row>
    <row r="50" spans="1:30" ht="82.5" x14ac:dyDescent="0.3">
      <c r="A50" s="1" t="s">
        <v>149</v>
      </c>
      <c r="B50" s="1" t="s">
        <v>585</v>
      </c>
      <c r="C50" s="1" t="s">
        <v>151</v>
      </c>
      <c r="D50" s="1" t="s">
        <v>586</v>
      </c>
      <c r="E50" s="1" t="s">
        <v>587</v>
      </c>
      <c r="F50" s="1"/>
      <c r="G50" s="1" t="s">
        <v>337</v>
      </c>
      <c r="H50" s="1" t="s">
        <v>525</v>
      </c>
      <c r="I50" s="1" t="s">
        <v>220</v>
      </c>
      <c r="J50" s="1"/>
      <c r="K50" s="1" t="s">
        <v>158</v>
      </c>
      <c r="L50" s="1" t="s">
        <v>379</v>
      </c>
      <c r="M50" s="1"/>
      <c r="N50" s="1"/>
      <c r="O50" s="1"/>
      <c r="P50" s="1"/>
      <c r="Q50" s="1"/>
      <c r="R50" s="1" t="s">
        <v>174</v>
      </c>
      <c r="S50" s="1" t="s">
        <v>300</v>
      </c>
      <c r="T50" s="1" t="s">
        <v>588</v>
      </c>
      <c r="U50" s="1" t="s">
        <v>589</v>
      </c>
      <c r="V50" s="1" t="s">
        <v>590</v>
      </c>
      <c r="W50" s="1"/>
      <c r="X50" s="1"/>
      <c r="Y50" s="1" t="s">
        <v>1163</v>
      </c>
      <c r="Z50" s="1" t="s">
        <v>1164</v>
      </c>
      <c r="AA50" s="1" t="s">
        <v>1165</v>
      </c>
      <c r="AB50" s="1" t="s">
        <v>1081</v>
      </c>
      <c r="AC50" s="1" t="s">
        <v>1028</v>
      </c>
      <c r="AD50" s="1" t="s">
        <v>1166</v>
      </c>
    </row>
    <row r="51" spans="1:30" ht="409.5" x14ac:dyDescent="0.3">
      <c r="A51" s="1" t="s">
        <v>149</v>
      </c>
      <c r="B51" s="1" t="s">
        <v>593</v>
      </c>
      <c r="C51" s="1" t="s">
        <v>151</v>
      </c>
      <c r="D51" s="1" t="s">
        <v>594</v>
      </c>
      <c r="E51" s="1" t="s">
        <v>595</v>
      </c>
      <c r="F51" s="1"/>
      <c r="G51" s="1" t="s">
        <v>337</v>
      </c>
      <c r="H51" s="1" t="s">
        <v>596</v>
      </c>
      <c r="I51" s="1" t="s">
        <v>370</v>
      </c>
      <c r="J51" s="1"/>
      <c r="K51" s="1" t="s">
        <v>158</v>
      </c>
      <c r="L51" s="1" t="s">
        <v>267</v>
      </c>
      <c r="M51" s="1"/>
      <c r="N51" s="1"/>
      <c r="O51" s="1"/>
      <c r="P51" s="1"/>
      <c r="Q51" s="1"/>
      <c r="R51" s="1" t="s">
        <v>174</v>
      </c>
      <c r="S51" s="1"/>
      <c r="T51" s="1" t="s">
        <v>597</v>
      </c>
      <c r="U51" s="1" t="s">
        <v>598</v>
      </c>
      <c r="V51" s="1"/>
      <c r="W51" s="1"/>
      <c r="X51" s="1"/>
      <c r="Y51" s="1" t="s">
        <v>599</v>
      </c>
      <c r="Z51" s="1" t="s">
        <v>600</v>
      </c>
      <c r="AA51" s="1" t="s">
        <v>49</v>
      </c>
      <c r="AB51" s="1" t="s">
        <v>1167</v>
      </c>
      <c r="AC51" s="1" t="s">
        <v>1022</v>
      </c>
      <c r="AD51" s="1" t="s">
        <v>1168</v>
      </c>
    </row>
    <row r="52" spans="1:30" ht="396" x14ac:dyDescent="0.3">
      <c r="A52" s="1" t="s">
        <v>149</v>
      </c>
      <c r="B52" s="1" t="s">
        <v>601</v>
      </c>
      <c r="C52" s="1" t="s">
        <v>151</v>
      </c>
      <c r="D52" s="1" t="s">
        <v>602</v>
      </c>
      <c r="E52" s="1" t="s">
        <v>603</v>
      </c>
      <c r="F52" s="1" t="s">
        <v>244</v>
      </c>
      <c r="G52" s="1" t="s">
        <v>155</v>
      </c>
      <c r="H52" s="1" t="s">
        <v>604</v>
      </c>
      <c r="I52" s="1" t="s">
        <v>605</v>
      </c>
      <c r="J52" s="1"/>
      <c r="K52" s="1" t="s">
        <v>158</v>
      </c>
      <c r="L52" s="1" t="s">
        <v>606</v>
      </c>
      <c r="M52" s="1"/>
      <c r="N52" s="1"/>
      <c r="O52" s="1" t="s">
        <v>309</v>
      </c>
      <c r="P52" s="1" t="s">
        <v>161</v>
      </c>
      <c r="Q52" s="1" t="s">
        <v>309</v>
      </c>
      <c r="R52" s="1" t="s">
        <v>290</v>
      </c>
      <c r="S52" s="1"/>
      <c r="T52" s="1"/>
      <c r="U52" s="1" t="s">
        <v>607</v>
      </c>
      <c r="V52" s="1"/>
      <c r="W52" s="1"/>
      <c r="X52" s="1"/>
      <c r="Y52" s="1" t="s">
        <v>608</v>
      </c>
      <c r="Z52" s="1" t="s">
        <v>609</v>
      </c>
      <c r="AA52" s="1" t="s">
        <v>50</v>
      </c>
      <c r="AB52" s="1" t="s">
        <v>1130</v>
      </c>
      <c r="AC52" s="1" t="s">
        <v>1028</v>
      </c>
      <c r="AD52" s="1" t="s">
        <v>1029</v>
      </c>
    </row>
    <row r="53" spans="1:30" ht="148.5" x14ac:dyDescent="0.3">
      <c r="A53" s="1" t="s">
        <v>149</v>
      </c>
      <c r="B53" s="1" t="s">
        <v>610</v>
      </c>
      <c r="C53" s="1" t="s">
        <v>151</v>
      </c>
      <c r="D53" s="1" t="s">
        <v>611</v>
      </c>
      <c r="E53" s="1" t="s">
        <v>255</v>
      </c>
      <c r="F53" s="1"/>
      <c r="G53" s="1" t="s">
        <v>255</v>
      </c>
      <c r="H53" s="1" t="s">
        <v>256</v>
      </c>
      <c r="I53" s="1" t="s">
        <v>257</v>
      </c>
      <c r="J53" s="1"/>
      <c r="K53" s="1" t="s">
        <v>158</v>
      </c>
      <c r="L53" s="1" t="s">
        <v>612</v>
      </c>
      <c r="M53" s="1"/>
      <c r="N53" s="1"/>
      <c r="O53" s="1"/>
      <c r="P53" s="1"/>
      <c r="Q53" s="1" t="s">
        <v>613</v>
      </c>
      <c r="R53" s="1"/>
      <c r="S53" s="1"/>
      <c r="T53" s="1"/>
      <c r="U53" s="1"/>
      <c r="V53" s="1"/>
      <c r="W53" s="1"/>
      <c r="X53" s="1"/>
      <c r="Y53" s="1" t="s">
        <v>614</v>
      </c>
      <c r="Z53" s="1" t="s">
        <v>615</v>
      </c>
      <c r="AA53" s="1" t="s">
        <v>616</v>
      </c>
      <c r="AB53" s="1" t="s">
        <v>1169</v>
      </c>
      <c r="AC53" s="1" t="s">
        <v>1170</v>
      </c>
      <c r="AD53" s="1" t="s">
        <v>1057</v>
      </c>
    </row>
    <row r="54" spans="1:30" ht="346.5" x14ac:dyDescent="0.3">
      <c r="A54" s="1" t="s">
        <v>149</v>
      </c>
      <c r="B54" s="1" t="s">
        <v>617</v>
      </c>
      <c r="C54" s="1" t="s">
        <v>151</v>
      </c>
      <c r="D54" s="1" t="s">
        <v>618</v>
      </c>
      <c r="E54" s="1" t="s">
        <v>360</v>
      </c>
      <c r="F54" s="1" t="s">
        <v>154</v>
      </c>
      <c r="G54" s="1" t="s">
        <v>155</v>
      </c>
      <c r="H54" s="1" t="s">
        <v>236</v>
      </c>
      <c r="I54" s="1" t="s">
        <v>196</v>
      </c>
      <c r="J54" s="1"/>
      <c r="K54" s="1" t="s">
        <v>158</v>
      </c>
      <c r="L54" s="1"/>
      <c r="M54" s="1"/>
      <c r="N54" s="1"/>
      <c r="O54" s="1" t="s">
        <v>537</v>
      </c>
      <c r="P54" s="1" t="s">
        <v>161</v>
      </c>
      <c r="Q54" s="1" t="s">
        <v>162</v>
      </c>
      <c r="R54" s="1" t="s">
        <v>212</v>
      </c>
      <c r="S54" s="1"/>
      <c r="T54" s="1"/>
      <c r="U54" s="1"/>
      <c r="V54" s="1"/>
      <c r="W54" s="1"/>
      <c r="X54" s="1"/>
      <c r="Y54" s="1" t="s">
        <v>619</v>
      </c>
      <c r="Z54" s="1" t="s">
        <v>620</v>
      </c>
      <c r="AA54" s="1" t="s">
        <v>52</v>
      </c>
      <c r="AB54" s="1" t="s">
        <v>1050</v>
      </c>
      <c r="AC54" s="1" t="s">
        <v>1022</v>
      </c>
      <c r="AD54" s="1" t="s">
        <v>1051</v>
      </c>
    </row>
    <row r="55" spans="1:30" ht="297" x14ac:dyDescent="0.3">
      <c r="A55" s="1" t="s">
        <v>149</v>
      </c>
      <c r="B55" s="1" t="s">
        <v>621</v>
      </c>
      <c r="C55" s="1" t="s">
        <v>151</v>
      </c>
      <c r="D55" s="1" t="s">
        <v>622</v>
      </c>
      <c r="E55" s="1" t="s">
        <v>623</v>
      </c>
      <c r="F55" s="1" t="s">
        <v>184</v>
      </c>
      <c r="G55" s="1" t="s">
        <v>255</v>
      </c>
      <c r="H55" s="1" t="s">
        <v>256</v>
      </c>
      <c r="I55" s="1" t="s">
        <v>257</v>
      </c>
      <c r="J55" s="1"/>
      <c r="K55" s="1" t="s">
        <v>158</v>
      </c>
      <c r="L55" s="1" t="s">
        <v>258</v>
      </c>
      <c r="M55" s="1"/>
      <c r="N55" s="1"/>
      <c r="O55" s="1" t="s">
        <v>259</v>
      </c>
      <c r="P55" s="1" t="s">
        <v>161</v>
      </c>
      <c r="Q55" s="1" t="s">
        <v>211</v>
      </c>
      <c r="R55" s="1" t="s">
        <v>260</v>
      </c>
      <c r="S55" s="1"/>
      <c r="T55" s="1"/>
      <c r="U55" s="1"/>
      <c r="V55" s="1"/>
      <c r="W55" s="1"/>
      <c r="X55" s="1"/>
      <c r="Y55" s="1" t="s">
        <v>624</v>
      </c>
      <c r="Z55" s="1" t="s">
        <v>625</v>
      </c>
      <c r="AA55" s="1" t="s">
        <v>53</v>
      </c>
      <c r="AB55" s="1" t="s">
        <v>1055</v>
      </c>
      <c r="AC55" s="1" t="s">
        <v>1170</v>
      </c>
      <c r="AD55" s="1" t="s">
        <v>1057</v>
      </c>
    </row>
    <row r="56" spans="1:30" ht="313.5" x14ac:dyDescent="0.3">
      <c r="A56" s="1" t="s">
        <v>149</v>
      </c>
      <c r="B56" s="1" t="s">
        <v>626</v>
      </c>
      <c r="C56" s="1" t="s">
        <v>151</v>
      </c>
      <c r="D56" s="1" t="s">
        <v>627</v>
      </c>
      <c r="E56" s="1" t="s">
        <v>628</v>
      </c>
      <c r="F56" s="1" t="s">
        <v>396</v>
      </c>
      <c r="G56" s="1" t="s">
        <v>155</v>
      </c>
      <c r="H56" s="1" t="s">
        <v>629</v>
      </c>
      <c r="I56" s="1" t="s">
        <v>171</v>
      </c>
      <c r="J56" s="1" t="s">
        <v>439</v>
      </c>
      <c r="K56" s="1" t="s">
        <v>158</v>
      </c>
      <c r="L56" s="1" t="s">
        <v>630</v>
      </c>
      <c r="M56" s="1"/>
      <c r="N56" s="1"/>
      <c r="O56" s="1"/>
      <c r="P56" s="1"/>
      <c r="Q56" s="1" t="s">
        <v>556</v>
      </c>
      <c r="R56" s="1" t="s">
        <v>174</v>
      </c>
      <c r="S56" s="1"/>
      <c r="T56" s="1"/>
      <c r="U56" s="1" t="s">
        <v>631</v>
      </c>
      <c r="V56" s="1" t="s">
        <v>632</v>
      </c>
      <c r="W56" s="1"/>
      <c r="X56" s="1"/>
      <c r="Y56" s="1" t="s">
        <v>633</v>
      </c>
      <c r="Z56" s="1" t="s">
        <v>634</v>
      </c>
      <c r="AA56" s="1" t="s">
        <v>54</v>
      </c>
      <c r="AB56" s="1" t="s">
        <v>1050</v>
      </c>
      <c r="AC56" s="1" t="s">
        <v>1136</v>
      </c>
      <c r="AD56" s="1" t="s">
        <v>1051</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68"/>
  <sheetViews>
    <sheetView workbookViewId="0"/>
  </sheetViews>
  <sheetFormatPr defaultRowHeight="16.5" x14ac:dyDescent="0.3"/>
  <cols>
    <col min="1" max="2" width="10" customWidth="1"/>
    <col min="4" max="5" width="30" customWidth="1"/>
    <col min="25" max="25" width="45" customWidth="1"/>
    <col min="26" max="26" width="50" customWidth="1"/>
    <col min="27" max="27" width="55" customWidth="1"/>
    <col min="28" max="28" width="32" customWidth="1"/>
    <col min="29" max="29" width="30" customWidth="1"/>
    <col min="30" max="30" width="50" customWidth="1"/>
    <col min="31" max="31" width="55" customWidth="1"/>
  </cols>
  <sheetData>
    <row r="1" spans="1:31" ht="66" x14ac:dyDescent="0.3">
      <c r="A1" s="7" t="s">
        <v>122</v>
      </c>
      <c r="B1" s="7" t="s">
        <v>123</v>
      </c>
      <c r="C1" s="7" t="s">
        <v>124</v>
      </c>
      <c r="D1" s="7" t="s">
        <v>125</v>
      </c>
      <c r="E1" s="7" t="s">
        <v>126</v>
      </c>
      <c r="F1" s="7" t="s">
        <v>127</v>
      </c>
      <c r="G1" s="7" t="s">
        <v>128</v>
      </c>
      <c r="H1" s="7" t="s">
        <v>129</v>
      </c>
      <c r="I1" s="7" t="s">
        <v>130</v>
      </c>
      <c r="J1" s="7" t="s">
        <v>131</v>
      </c>
      <c r="K1" s="7" t="s">
        <v>132</v>
      </c>
      <c r="L1" s="7" t="s">
        <v>133</v>
      </c>
      <c r="M1" s="7" t="s">
        <v>134</v>
      </c>
      <c r="N1" s="7" t="s">
        <v>135</v>
      </c>
      <c r="O1" s="7" t="s">
        <v>136</v>
      </c>
      <c r="P1" s="7" t="s">
        <v>137</v>
      </c>
      <c r="Q1" s="7" t="s">
        <v>138</v>
      </c>
      <c r="R1" s="7" t="s">
        <v>139</v>
      </c>
      <c r="S1" s="7" t="s">
        <v>140</v>
      </c>
      <c r="T1" s="7" t="s">
        <v>141</v>
      </c>
      <c r="U1" s="7" t="s">
        <v>142</v>
      </c>
      <c r="V1" s="7" t="s">
        <v>143</v>
      </c>
      <c r="W1" s="7" t="s">
        <v>144</v>
      </c>
      <c r="X1" s="7" t="s">
        <v>145</v>
      </c>
      <c r="Y1" s="7" t="s">
        <v>146</v>
      </c>
      <c r="Z1" s="7" t="s">
        <v>147</v>
      </c>
      <c r="AA1" s="7" t="s">
        <v>148</v>
      </c>
      <c r="AB1" s="7" t="s">
        <v>1171</v>
      </c>
      <c r="AC1" s="7" t="s">
        <v>1172</v>
      </c>
      <c r="AD1" s="7" t="s">
        <v>1173</v>
      </c>
      <c r="AE1" s="7" t="s">
        <v>1174</v>
      </c>
    </row>
    <row r="2" spans="1:31" ht="148.5" x14ac:dyDescent="0.3">
      <c r="A2" s="1" t="s">
        <v>635</v>
      </c>
      <c r="B2" s="1" t="s">
        <v>636</v>
      </c>
      <c r="C2" s="1" t="s">
        <v>637</v>
      </c>
      <c r="D2" s="1" t="s">
        <v>638</v>
      </c>
      <c r="E2" s="1" t="s">
        <v>639</v>
      </c>
      <c r="F2" s="1" t="s">
        <v>640</v>
      </c>
      <c r="G2" s="1"/>
      <c r="H2" s="1"/>
      <c r="I2" s="1" t="s">
        <v>641</v>
      </c>
      <c r="J2" s="1"/>
      <c r="K2" s="1" t="s">
        <v>158</v>
      </c>
      <c r="L2" s="1"/>
      <c r="M2" s="1"/>
      <c r="N2" s="1" t="s">
        <v>519</v>
      </c>
      <c r="O2" s="1"/>
      <c r="P2" s="1"/>
      <c r="Q2" s="1"/>
      <c r="R2" s="1" t="s">
        <v>642</v>
      </c>
      <c r="S2" s="1"/>
      <c r="T2" s="1"/>
      <c r="U2" s="1"/>
      <c r="V2" s="1"/>
      <c r="W2" s="1"/>
      <c r="X2" s="1" t="s">
        <v>643</v>
      </c>
      <c r="Y2" s="1" t="s">
        <v>644</v>
      </c>
      <c r="Z2" s="1" t="s">
        <v>645</v>
      </c>
      <c r="AA2" s="1" t="s">
        <v>55</v>
      </c>
      <c r="AB2" s="1" t="s">
        <v>1175</v>
      </c>
      <c r="AC2" s="1" t="s">
        <v>1176</v>
      </c>
      <c r="AD2" s="1" t="s">
        <v>1177</v>
      </c>
      <c r="AE2" s="1" t="s">
        <v>1178</v>
      </c>
    </row>
    <row r="3" spans="1:31" ht="165" x14ac:dyDescent="0.3">
      <c r="A3" s="1" t="s">
        <v>635</v>
      </c>
      <c r="B3" s="1" t="s">
        <v>646</v>
      </c>
      <c r="C3" s="1" t="s">
        <v>637</v>
      </c>
      <c r="D3" s="1" t="s">
        <v>647</v>
      </c>
      <c r="E3" s="1" t="s">
        <v>648</v>
      </c>
      <c r="F3" s="1" t="s">
        <v>184</v>
      </c>
      <c r="G3" s="1"/>
      <c r="H3" s="1"/>
      <c r="I3" s="1" t="s">
        <v>641</v>
      </c>
      <c r="J3" s="1"/>
      <c r="K3" s="1" t="s">
        <v>158</v>
      </c>
      <c r="L3" s="1"/>
      <c r="M3" s="1"/>
      <c r="N3" s="1" t="s">
        <v>649</v>
      </c>
      <c r="O3" s="1"/>
      <c r="P3" s="1"/>
      <c r="Q3" s="1"/>
      <c r="R3" s="1" t="s">
        <v>454</v>
      </c>
      <c r="S3" s="1"/>
      <c r="T3" s="1"/>
      <c r="U3" s="1"/>
      <c r="V3" s="1"/>
      <c r="W3" s="1"/>
      <c r="X3" s="1" t="s">
        <v>650</v>
      </c>
      <c r="Y3" s="1" t="s">
        <v>651</v>
      </c>
      <c r="Z3" s="1" t="s">
        <v>652</v>
      </c>
      <c r="AA3" s="1" t="s">
        <v>56</v>
      </c>
      <c r="AB3" s="1" t="s">
        <v>1179</v>
      </c>
      <c r="AC3" s="1" t="s">
        <v>425</v>
      </c>
      <c r="AD3" s="1" t="s">
        <v>1180</v>
      </c>
      <c r="AE3" s="1" t="s">
        <v>1181</v>
      </c>
    </row>
    <row r="4" spans="1:31" ht="148.5" x14ac:dyDescent="0.3">
      <c r="A4" s="1" t="s">
        <v>635</v>
      </c>
      <c r="B4" s="1" t="s">
        <v>653</v>
      </c>
      <c r="C4" s="1" t="s">
        <v>637</v>
      </c>
      <c r="D4" s="1" t="s">
        <v>654</v>
      </c>
      <c r="E4" s="1" t="s">
        <v>655</v>
      </c>
      <c r="F4" s="1" t="s">
        <v>154</v>
      </c>
      <c r="G4" s="1"/>
      <c r="H4" s="1"/>
      <c r="I4" s="1" t="s">
        <v>641</v>
      </c>
      <c r="J4" s="1"/>
      <c r="K4" s="1" t="s">
        <v>158</v>
      </c>
      <c r="L4" s="1"/>
      <c r="M4" s="1"/>
      <c r="N4" s="1" t="s">
        <v>656</v>
      </c>
      <c r="O4" s="1"/>
      <c r="P4" s="1"/>
      <c r="Q4" s="1"/>
      <c r="R4" s="1" t="s">
        <v>657</v>
      </c>
      <c r="S4" s="1"/>
      <c r="T4" s="1"/>
      <c r="U4" s="1"/>
      <c r="V4" s="1"/>
      <c r="W4" s="1"/>
      <c r="X4" s="1" t="s">
        <v>658</v>
      </c>
      <c r="Y4" s="1" t="s">
        <v>659</v>
      </c>
      <c r="Z4" s="1" t="s">
        <v>660</v>
      </c>
      <c r="AA4" s="1" t="s">
        <v>57</v>
      </c>
      <c r="AB4" s="1" t="s">
        <v>1182</v>
      </c>
      <c r="AC4" s="1" t="s">
        <v>1183</v>
      </c>
      <c r="AD4" s="1" t="s">
        <v>1184</v>
      </c>
      <c r="AE4" s="1" t="s">
        <v>1185</v>
      </c>
    </row>
    <row r="5" spans="1:31" ht="132" x14ac:dyDescent="0.3">
      <c r="A5" s="1" t="s">
        <v>635</v>
      </c>
      <c r="B5" s="1" t="s">
        <v>661</v>
      </c>
      <c r="C5" s="1" t="s">
        <v>637</v>
      </c>
      <c r="D5" s="1" t="s">
        <v>662</v>
      </c>
      <c r="E5" s="1" t="s">
        <v>663</v>
      </c>
      <c r="F5" s="1" t="s">
        <v>184</v>
      </c>
      <c r="G5" s="1" t="s">
        <v>337</v>
      </c>
      <c r="H5" s="1"/>
      <c r="I5" s="1" t="s">
        <v>641</v>
      </c>
      <c r="J5" s="1" t="s">
        <v>449</v>
      </c>
      <c r="K5" s="1" t="s">
        <v>158</v>
      </c>
      <c r="L5" s="1"/>
      <c r="M5" s="1"/>
      <c r="N5" s="1" t="s">
        <v>519</v>
      </c>
      <c r="O5" s="1"/>
      <c r="P5" s="1"/>
      <c r="Q5" s="1"/>
      <c r="R5" s="1"/>
      <c r="S5" s="1"/>
      <c r="T5" s="1"/>
      <c r="U5" s="1"/>
      <c r="V5" s="1"/>
      <c r="W5" s="1"/>
      <c r="X5" s="1" t="s">
        <v>664</v>
      </c>
      <c r="Y5" s="1" t="s">
        <v>665</v>
      </c>
      <c r="Z5" s="1" t="s">
        <v>666</v>
      </c>
      <c r="AA5" s="1" t="s">
        <v>58</v>
      </c>
      <c r="AB5" s="1" t="s">
        <v>1186</v>
      </c>
      <c r="AC5" s="1" t="s">
        <v>1187</v>
      </c>
      <c r="AD5" s="1" t="s">
        <v>1188</v>
      </c>
      <c r="AE5" s="1" t="s">
        <v>1185</v>
      </c>
    </row>
    <row r="6" spans="1:31" ht="181.5" x14ac:dyDescent="0.3">
      <c r="A6" s="1" t="s">
        <v>635</v>
      </c>
      <c r="B6" s="1" t="s">
        <v>667</v>
      </c>
      <c r="C6" s="1" t="s">
        <v>637</v>
      </c>
      <c r="D6" s="1" t="s">
        <v>668</v>
      </c>
      <c r="E6" s="1" t="s">
        <v>669</v>
      </c>
      <c r="F6" s="1" t="s">
        <v>670</v>
      </c>
      <c r="G6" s="1"/>
      <c r="H6" s="1"/>
      <c r="I6" s="1" t="s">
        <v>641</v>
      </c>
      <c r="J6" s="1"/>
      <c r="K6" s="1" t="s">
        <v>158</v>
      </c>
      <c r="L6" s="1"/>
      <c r="M6" s="1"/>
      <c r="N6" s="1" t="s">
        <v>519</v>
      </c>
      <c r="O6" s="1"/>
      <c r="P6" s="1"/>
      <c r="Q6" s="1"/>
      <c r="R6" s="1" t="s">
        <v>671</v>
      </c>
      <c r="S6" s="1"/>
      <c r="T6" s="1"/>
      <c r="U6" s="1"/>
      <c r="V6" s="1"/>
      <c r="W6" s="1"/>
      <c r="X6" s="1" t="s">
        <v>672</v>
      </c>
      <c r="Y6" s="1" t="s">
        <v>644</v>
      </c>
      <c r="Z6" s="1" t="s">
        <v>673</v>
      </c>
      <c r="AA6" s="1" t="s">
        <v>59</v>
      </c>
      <c r="AB6" s="1" t="s">
        <v>1189</v>
      </c>
      <c r="AC6" s="1" t="s">
        <v>1190</v>
      </c>
      <c r="AD6" s="1" t="s">
        <v>1177</v>
      </c>
      <c r="AE6" s="1" t="s">
        <v>1191</v>
      </c>
    </row>
    <row r="7" spans="1:31" ht="198" x14ac:dyDescent="0.3">
      <c r="A7" s="1" t="s">
        <v>635</v>
      </c>
      <c r="B7" s="1" t="s">
        <v>674</v>
      </c>
      <c r="C7" s="1" t="s">
        <v>637</v>
      </c>
      <c r="D7" s="1" t="s">
        <v>675</v>
      </c>
      <c r="E7" s="1" t="s">
        <v>676</v>
      </c>
      <c r="F7" s="1"/>
      <c r="G7" s="1"/>
      <c r="H7" s="1"/>
      <c r="I7" s="1" t="s">
        <v>387</v>
      </c>
      <c r="J7" s="1"/>
      <c r="K7" s="1" t="s">
        <v>158</v>
      </c>
      <c r="L7" s="1"/>
      <c r="M7" s="1"/>
      <c r="N7" s="1" t="s">
        <v>649</v>
      </c>
      <c r="O7" s="1"/>
      <c r="P7" s="1"/>
      <c r="Q7" s="1"/>
      <c r="R7" s="1" t="s">
        <v>671</v>
      </c>
      <c r="S7" s="1"/>
      <c r="T7" s="1"/>
      <c r="U7" s="1"/>
      <c r="V7" s="1"/>
      <c r="W7" s="1"/>
      <c r="X7" s="1" t="s">
        <v>677</v>
      </c>
      <c r="Y7" s="1" t="s">
        <v>678</v>
      </c>
      <c r="Z7" s="1" t="s">
        <v>679</v>
      </c>
      <c r="AA7" s="1" t="s">
        <v>60</v>
      </c>
      <c r="AB7" s="1" t="s">
        <v>1192</v>
      </c>
      <c r="AC7" s="1" t="s">
        <v>1193</v>
      </c>
      <c r="AD7" s="1" t="s">
        <v>1194</v>
      </c>
      <c r="AE7" s="1" t="s">
        <v>1195</v>
      </c>
    </row>
    <row r="8" spans="1:31" ht="132" x14ac:dyDescent="0.3">
      <c r="A8" s="1" t="s">
        <v>635</v>
      </c>
      <c r="B8" s="1" t="s">
        <v>680</v>
      </c>
      <c r="C8" s="1" t="s">
        <v>637</v>
      </c>
      <c r="D8" s="1" t="s">
        <v>681</v>
      </c>
      <c r="E8" s="1" t="s">
        <v>682</v>
      </c>
      <c r="F8" s="1"/>
      <c r="G8" s="1" t="s">
        <v>337</v>
      </c>
      <c r="H8" s="1"/>
      <c r="I8" s="1" t="s">
        <v>641</v>
      </c>
      <c r="J8" s="1"/>
      <c r="K8" s="1" t="s">
        <v>158</v>
      </c>
      <c r="L8" s="1"/>
      <c r="M8" s="1"/>
      <c r="N8" s="1" t="s">
        <v>656</v>
      </c>
      <c r="O8" s="1"/>
      <c r="P8" s="1"/>
      <c r="Q8" s="1"/>
      <c r="R8" s="1" t="s">
        <v>671</v>
      </c>
      <c r="S8" s="1"/>
      <c r="T8" s="1"/>
      <c r="U8" s="1"/>
      <c r="V8" s="1"/>
      <c r="W8" s="1"/>
      <c r="X8" s="1" t="s">
        <v>683</v>
      </c>
      <c r="Y8" s="1" t="s">
        <v>665</v>
      </c>
      <c r="Z8" s="1" t="s">
        <v>684</v>
      </c>
      <c r="AA8" s="1" t="s">
        <v>685</v>
      </c>
      <c r="AB8" s="1" t="s">
        <v>1196</v>
      </c>
      <c r="AC8" s="1" t="s">
        <v>337</v>
      </c>
      <c r="AD8" s="1" t="s">
        <v>1188</v>
      </c>
      <c r="AE8" s="1" t="s">
        <v>1181</v>
      </c>
    </row>
    <row r="9" spans="1:31" ht="181.5" x14ac:dyDescent="0.3">
      <c r="A9" s="1" t="s">
        <v>635</v>
      </c>
      <c r="B9" s="1" t="s">
        <v>686</v>
      </c>
      <c r="C9" s="1" t="s">
        <v>637</v>
      </c>
      <c r="D9" s="1" t="s">
        <v>687</v>
      </c>
      <c r="E9" s="1" t="s">
        <v>688</v>
      </c>
      <c r="F9" s="1"/>
      <c r="G9" s="1" t="s">
        <v>169</v>
      </c>
      <c r="H9" s="1" t="s">
        <v>689</v>
      </c>
      <c r="I9" s="1" t="s">
        <v>641</v>
      </c>
      <c r="J9" s="1" t="s">
        <v>197</v>
      </c>
      <c r="K9" s="1" t="s">
        <v>158</v>
      </c>
      <c r="L9" s="1"/>
      <c r="M9" s="1"/>
      <c r="N9" s="1" t="s">
        <v>519</v>
      </c>
      <c r="O9" s="1"/>
      <c r="P9" s="1"/>
      <c r="Q9" s="1"/>
      <c r="R9" s="1" t="s">
        <v>671</v>
      </c>
      <c r="S9" s="1"/>
      <c r="T9" s="1"/>
      <c r="U9" s="1"/>
      <c r="V9" s="1"/>
      <c r="W9" s="1"/>
      <c r="X9" s="1" t="s">
        <v>690</v>
      </c>
      <c r="Y9" s="1" t="s">
        <v>691</v>
      </c>
      <c r="Z9" s="1" t="s">
        <v>692</v>
      </c>
      <c r="AA9" s="1" t="s">
        <v>62</v>
      </c>
      <c r="AB9" s="1" t="s">
        <v>1197</v>
      </c>
      <c r="AC9" s="1" t="s">
        <v>169</v>
      </c>
      <c r="AD9" s="1" t="s">
        <v>1198</v>
      </c>
      <c r="AE9" s="1" t="s">
        <v>1199</v>
      </c>
    </row>
    <row r="10" spans="1:31" ht="148.5" x14ac:dyDescent="0.3">
      <c r="A10" s="1" t="s">
        <v>635</v>
      </c>
      <c r="B10" s="1" t="s">
        <v>693</v>
      </c>
      <c r="C10" s="1" t="s">
        <v>637</v>
      </c>
      <c r="D10" s="1" t="s">
        <v>694</v>
      </c>
      <c r="E10" s="1" t="s">
        <v>655</v>
      </c>
      <c r="F10" s="1" t="s">
        <v>154</v>
      </c>
      <c r="G10" s="1"/>
      <c r="H10" s="1"/>
      <c r="I10" s="1" t="s">
        <v>641</v>
      </c>
      <c r="J10" s="1"/>
      <c r="K10" s="1" t="s">
        <v>158</v>
      </c>
      <c r="L10" s="1"/>
      <c r="M10" s="1"/>
      <c r="N10" s="1" t="s">
        <v>656</v>
      </c>
      <c r="O10" s="1"/>
      <c r="P10" s="1"/>
      <c r="Q10" s="1"/>
      <c r="R10" s="1" t="s">
        <v>657</v>
      </c>
      <c r="S10" s="1"/>
      <c r="T10" s="1"/>
      <c r="U10" s="1"/>
      <c r="V10" s="1"/>
      <c r="W10" s="1"/>
      <c r="X10" s="1" t="s">
        <v>695</v>
      </c>
      <c r="Y10" s="1" t="s">
        <v>696</v>
      </c>
      <c r="Z10" s="1" t="s">
        <v>697</v>
      </c>
      <c r="AA10" s="1" t="s">
        <v>63</v>
      </c>
      <c r="AB10" s="1" t="s">
        <v>1200</v>
      </c>
      <c r="AC10" s="1" t="s">
        <v>1183</v>
      </c>
      <c r="AD10" s="1" t="s">
        <v>1201</v>
      </c>
      <c r="AE10" s="1" t="s">
        <v>1202</v>
      </c>
    </row>
    <row r="11" spans="1:31" ht="148.5" x14ac:dyDescent="0.3">
      <c r="A11" s="1" t="s">
        <v>635</v>
      </c>
      <c r="B11" s="1" t="s">
        <v>698</v>
      </c>
      <c r="C11" s="1" t="s">
        <v>637</v>
      </c>
      <c r="D11" s="1" t="s">
        <v>699</v>
      </c>
      <c r="E11" s="1" t="s">
        <v>676</v>
      </c>
      <c r="F11" s="1"/>
      <c r="G11" s="1"/>
      <c r="H11" s="1"/>
      <c r="I11" s="1" t="s">
        <v>387</v>
      </c>
      <c r="J11" s="1"/>
      <c r="K11" s="1" t="s">
        <v>158</v>
      </c>
      <c r="L11" s="1"/>
      <c r="M11" s="1"/>
      <c r="N11" s="1" t="s">
        <v>656</v>
      </c>
      <c r="O11" s="1"/>
      <c r="P11" s="1"/>
      <c r="Q11" s="1"/>
      <c r="R11" s="1" t="s">
        <v>657</v>
      </c>
      <c r="S11" s="1"/>
      <c r="T11" s="1"/>
      <c r="U11" s="1"/>
      <c r="V11" s="1"/>
      <c r="W11" s="1"/>
      <c r="X11" s="1" t="s">
        <v>700</v>
      </c>
      <c r="Y11" s="1" t="s">
        <v>701</v>
      </c>
      <c r="Z11" s="1" t="s">
        <v>702</v>
      </c>
      <c r="AA11" s="1" t="s">
        <v>64</v>
      </c>
      <c r="AB11" s="1" t="s">
        <v>1192</v>
      </c>
      <c r="AC11" s="1" t="s">
        <v>1203</v>
      </c>
      <c r="AD11" s="1"/>
      <c r="AE11" s="1" t="s">
        <v>1195</v>
      </c>
    </row>
    <row r="12" spans="1:31" ht="181.5" x14ac:dyDescent="0.3">
      <c r="A12" s="1" t="s">
        <v>635</v>
      </c>
      <c r="B12" s="1" t="s">
        <v>703</v>
      </c>
      <c r="C12" s="1" t="s">
        <v>637</v>
      </c>
      <c r="D12" s="1" t="s">
        <v>704</v>
      </c>
      <c r="E12" s="1" t="s">
        <v>663</v>
      </c>
      <c r="F12" s="1" t="s">
        <v>184</v>
      </c>
      <c r="G12" s="1" t="s">
        <v>337</v>
      </c>
      <c r="H12" s="1"/>
      <c r="I12" s="1" t="s">
        <v>641</v>
      </c>
      <c r="J12" s="1" t="s">
        <v>705</v>
      </c>
      <c r="K12" s="1" t="s">
        <v>158</v>
      </c>
      <c r="L12" s="1"/>
      <c r="M12" s="1"/>
      <c r="N12" s="1" t="s">
        <v>656</v>
      </c>
      <c r="O12" s="1"/>
      <c r="P12" s="1"/>
      <c r="Q12" s="1"/>
      <c r="R12" s="1" t="s">
        <v>642</v>
      </c>
      <c r="S12" s="1"/>
      <c r="T12" s="1"/>
      <c r="U12" s="1"/>
      <c r="V12" s="1"/>
      <c r="W12" s="1"/>
      <c r="X12" s="1" t="s">
        <v>706</v>
      </c>
      <c r="Y12" s="1" t="s">
        <v>707</v>
      </c>
      <c r="Z12" s="1" t="s">
        <v>708</v>
      </c>
      <c r="AA12" s="1" t="s">
        <v>65</v>
      </c>
      <c r="AB12" s="1" t="s">
        <v>1196</v>
      </c>
      <c r="AC12" s="1" t="s">
        <v>1187</v>
      </c>
      <c r="AD12" s="1" t="s">
        <v>1204</v>
      </c>
      <c r="AE12" s="1" t="s">
        <v>1181</v>
      </c>
    </row>
    <row r="13" spans="1:31" ht="181.5" x14ac:dyDescent="0.3">
      <c r="A13" s="1" t="s">
        <v>635</v>
      </c>
      <c r="B13" s="1" t="s">
        <v>709</v>
      </c>
      <c r="C13" s="1" t="s">
        <v>637</v>
      </c>
      <c r="D13" s="1" t="s">
        <v>710</v>
      </c>
      <c r="E13" s="1" t="s">
        <v>711</v>
      </c>
      <c r="F13" s="1" t="s">
        <v>184</v>
      </c>
      <c r="G13" s="1" t="s">
        <v>169</v>
      </c>
      <c r="H13" s="1" t="s">
        <v>689</v>
      </c>
      <c r="I13" s="1" t="s">
        <v>641</v>
      </c>
      <c r="J13" s="1" t="s">
        <v>712</v>
      </c>
      <c r="K13" s="1" t="s">
        <v>158</v>
      </c>
      <c r="L13" s="1"/>
      <c r="M13" s="1"/>
      <c r="N13" s="1" t="s">
        <v>656</v>
      </c>
      <c r="O13" s="1"/>
      <c r="P13" s="1"/>
      <c r="Q13" s="1"/>
      <c r="R13" s="1" t="s">
        <v>671</v>
      </c>
      <c r="S13" s="1"/>
      <c r="T13" s="1"/>
      <c r="U13" s="1"/>
      <c r="V13" s="1"/>
      <c r="W13" s="1"/>
      <c r="X13" s="1" t="s">
        <v>713</v>
      </c>
      <c r="Y13" s="1" t="s">
        <v>714</v>
      </c>
      <c r="Z13" s="1" t="s">
        <v>715</v>
      </c>
      <c r="AA13" s="1" t="s">
        <v>66</v>
      </c>
      <c r="AB13" s="1" t="s">
        <v>1205</v>
      </c>
      <c r="AC13" s="1" t="s">
        <v>1206</v>
      </c>
      <c r="AD13" s="1" t="s">
        <v>1207</v>
      </c>
      <c r="AE13" s="1" t="s">
        <v>1185</v>
      </c>
    </row>
    <row r="14" spans="1:31" ht="132" x14ac:dyDescent="0.3">
      <c r="A14" s="1" t="s">
        <v>635</v>
      </c>
      <c r="B14" s="1" t="s">
        <v>716</v>
      </c>
      <c r="C14" s="1" t="s">
        <v>637</v>
      </c>
      <c r="D14" s="1" t="s">
        <v>717</v>
      </c>
      <c r="E14" s="1" t="s">
        <v>676</v>
      </c>
      <c r="F14" s="1"/>
      <c r="G14" s="1"/>
      <c r="H14" s="1"/>
      <c r="I14" s="1" t="s">
        <v>387</v>
      </c>
      <c r="J14" s="1"/>
      <c r="K14" s="1" t="s">
        <v>158</v>
      </c>
      <c r="L14" s="1"/>
      <c r="M14" s="1"/>
      <c r="N14" s="1" t="s">
        <v>656</v>
      </c>
      <c r="O14" s="1"/>
      <c r="P14" s="1"/>
      <c r="Q14" s="1"/>
      <c r="R14" s="1" t="s">
        <v>657</v>
      </c>
      <c r="S14" s="1"/>
      <c r="T14" s="1"/>
      <c r="U14" s="1"/>
      <c r="V14" s="1"/>
      <c r="W14" s="1"/>
      <c r="X14" s="1" t="s">
        <v>718</v>
      </c>
      <c r="Y14" s="1" t="s">
        <v>719</v>
      </c>
      <c r="Z14" s="1" t="s">
        <v>720</v>
      </c>
      <c r="AA14" s="1" t="s">
        <v>67</v>
      </c>
      <c r="AB14" s="1" t="s">
        <v>1208</v>
      </c>
      <c r="AC14" s="1" t="s">
        <v>1203</v>
      </c>
      <c r="AD14" s="1"/>
      <c r="AE14" s="1" t="s">
        <v>1195</v>
      </c>
    </row>
    <row r="15" spans="1:31" ht="247.5" x14ac:dyDescent="0.3">
      <c r="A15" s="1" t="s">
        <v>635</v>
      </c>
      <c r="B15" s="1" t="s">
        <v>721</v>
      </c>
      <c r="C15" s="1" t="s">
        <v>637</v>
      </c>
      <c r="D15" s="1" t="s">
        <v>722</v>
      </c>
      <c r="E15" s="1" t="s">
        <v>723</v>
      </c>
      <c r="F15" s="1"/>
      <c r="G15" s="1" t="s">
        <v>169</v>
      </c>
      <c r="H15" s="1" t="s">
        <v>689</v>
      </c>
      <c r="I15" s="1" t="s">
        <v>641</v>
      </c>
      <c r="J15" s="1"/>
      <c r="K15" s="1" t="s">
        <v>158</v>
      </c>
      <c r="L15" s="1"/>
      <c r="M15" s="1"/>
      <c r="N15" s="1" t="s">
        <v>724</v>
      </c>
      <c r="O15" s="1"/>
      <c r="P15" s="1"/>
      <c r="Q15" s="1"/>
      <c r="R15" s="1" t="s">
        <v>454</v>
      </c>
      <c r="S15" s="1"/>
      <c r="T15" s="1"/>
      <c r="U15" s="1"/>
      <c r="V15" s="1"/>
      <c r="W15" s="1"/>
      <c r="X15" s="1" t="s">
        <v>725</v>
      </c>
      <c r="Y15" s="1" t="s">
        <v>726</v>
      </c>
      <c r="Z15" s="1" t="s">
        <v>727</v>
      </c>
      <c r="AA15" s="1" t="s">
        <v>68</v>
      </c>
      <c r="AB15" s="1" t="s">
        <v>1209</v>
      </c>
      <c r="AC15" s="1" t="s">
        <v>169</v>
      </c>
      <c r="AD15" s="1" t="s">
        <v>1210</v>
      </c>
      <c r="AE15" s="1" t="s">
        <v>1211</v>
      </c>
    </row>
    <row r="16" spans="1:31" ht="165" x14ac:dyDescent="0.3">
      <c r="A16" s="1" t="s">
        <v>635</v>
      </c>
      <c r="B16" s="1" t="s">
        <v>728</v>
      </c>
      <c r="C16" s="1" t="s">
        <v>637</v>
      </c>
      <c r="D16" s="1" t="s">
        <v>729</v>
      </c>
      <c r="E16" s="1" t="s">
        <v>730</v>
      </c>
      <c r="F16" s="1"/>
      <c r="G16" s="1" t="s">
        <v>169</v>
      </c>
      <c r="H16" s="1" t="s">
        <v>448</v>
      </c>
      <c r="I16" s="1" t="s">
        <v>196</v>
      </c>
      <c r="J16" s="1"/>
      <c r="K16" s="1" t="s">
        <v>158</v>
      </c>
      <c r="L16" s="1"/>
      <c r="M16" s="1"/>
      <c r="N16" s="1" t="s">
        <v>656</v>
      </c>
      <c r="O16" s="1"/>
      <c r="P16" s="1"/>
      <c r="Q16" s="1"/>
      <c r="R16" s="1" t="s">
        <v>657</v>
      </c>
      <c r="S16" s="1"/>
      <c r="T16" s="1"/>
      <c r="U16" s="1"/>
      <c r="V16" s="1"/>
      <c r="W16" s="1"/>
      <c r="X16" s="1" t="s">
        <v>731</v>
      </c>
      <c r="Y16" s="1" t="s">
        <v>714</v>
      </c>
      <c r="Z16" s="1" t="s">
        <v>732</v>
      </c>
      <c r="AA16" s="1" t="s">
        <v>69</v>
      </c>
      <c r="AB16" s="1" t="s">
        <v>1212</v>
      </c>
      <c r="AC16" s="1" t="s">
        <v>1213</v>
      </c>
      <c r="AD16" s="1" t="s">
        <v>1207</v>
      </c>
      <c r="AE16" s="1" t="s">
        <v>1214</v>
      </c>
    </row>
    <row r="17" spans="1:31" ht="264" x14ac:dyDescent="0.3">
      <c r="A17" s="1" t="s">
        <v>635</v>
      </c>
      <c r="B17" s="1" t="s">
        <v>733</v>
      </c>
      <c r="C17" s="1" t="s">
        <v>637</v>
      </c>
      <c r="D17" s="1" t="s">
        <v>734</v>
      </c>
      <c r="E17" s="1" t="s">
        <v>735</v>
      </c>
      <c r="F17" s="1"/>
      <c r="G17" s="1" t="s">
        <v>169</v>
      </c>
      <c r="H17" s="1" t="s">
        <v>736</v>
      </c>
      <c r="I17" s="1" t="s">
        <v>387</v>
      </c>
      <c r="J17" s="1" t="s">
        <v>197</v>
      </c>
      <c r="K17" s="1" t="s">
        <v>158</v>
      </c>
      <c r="L17" s="1"/>
      <c r="M17" s="1"/>
      <c r="N17" s="1" t="s">
        <v>519</v>
      </c>
      <c r="O17" s="1"/>
      <c r="P17" s="1"/>
      <c r="Q17" s="1"/>
      <c r="R17" s="1"/>
      <c r="S17" s="1"/>
      <c r="T17" s="1"/>
      <c r="U17" s="1"/>
      <c r="V17" s="1"/>
      <c r="W17" s="1"/>
      <c r="X17" s="1" t="s">
        <v>737</v>
      </c>
      <c r="Y17" s="1" t="s">
        <v>738</v>
      </c>
      <c r="Z17" s="1" t="s">
        <v>739</v>
      </c>
      <c r="AA17" s="1" t="s">
        <v>70</v>
      </c>
      <c r="AB17" s="1" t="s">
        <v>1215</v>
      </c>
      <c r="AC17" s="1" t="s">
        <v>1216</v>
      </c>
      <c r="AD17" s="1" t="s">
        <v>1217</v>
      </c>
      <c r="AE17" s="1" t="s">
        <v>1195</v>
      </c>
    </row>
    <row r="18" spans="1:31" ht="264" x14ac:dyDescent="0.3">
      <c r="A18" s="1" t="s">
        <v>635</v>
      </c>
      <c r="B18" s="1" t="s">
        <v>740</v>
      </c>
      <c r="C18" s="1" t="s">
        <v>637</v>
      </c>
      <c r="D18" s="1" t="s">
        <v>741</v>
      </c>
      <c r="E18" s="1" t="s">
        <v>742</v>
      </c>
      <c r="F18" s="1"/>
      <c r="G18" s="1" t="s">
        <v>169</v>
      </c>
      <c r="H18" s="1" t="s">
        <v>743</v>
      </c>
      <c r="I18" s="1" t="s">
        <v>196</v>
      </c>
      <c r="J18" s="1" t="s">
        <v>172</v>
      </c>
      <c r="K18" s="1" t="s">
        <v>158</v>
      </c>
      <c r="L18" s="1"/>
      <c r="M18" s="1"/>
      <c r="N18" s="1" t="s">
        <v>649</v>
      </c>
      <c r="O18" s="1" t="s">
        <v>211</v>
      </c>
      <c r="P18" s="1" t="s">
        <v>744</v>
      </c>
      <c r="Q18" s="1"/>
      <c r="R18" s="1" t="s">
        <v>671</v>
      </c>
      <c r="S18" s="1"/>
      <c r="T18" s="1"/>
      <c r="U18" s="1"/>
      <c r="V18" s="1"/>
      <c r="W18" s="1"/>
      <c r="X18" s="1" t="s">
        <v>745</v>
      </c>
      <c r="Y18" s="1" t="s">
        <v>746</v>
      </c>
      <c r="Z18" s="1" t="s">
        <v>747</v>
      </c>
      <c r="AA18" s="1" t="s">
        <v>71</v>
      </c>
      <c r="AB18" s="1" t="s">
        <v>1218</v>
      </c>
      <c r="AC18" s="1" t="s">
        <v>1219</v>
      </c>
      <c r="AD18" s="1" t="s">
        <v>1220</v>
      </c>
      <c r="AE18" s="1" t="s">
        <v>1185</v>
      </c>
    </row>
    <row r="19" spans="1:31" ht="132" x14ac:dyDescent="0.3">
      <c r="A19" s="1" t="s">
        <v>635</v>
      </c>
      <c r="B19" s="1" t="s">
        <v>748</v>
      </c>
      <c r="C19" s="1" t="s">
        <v>637</v>
      </c>
      <c r="D19" s="1" t="s">
        <v>749</v>
      </c>
      <c r="E19" s="1" t="s">
        <v>637</v>
      </c>
      <c r="F19" s="1"/>
      <c r="G19" s="1"/>
      <c r="H19" s="1"/>
      <c r="I19" s="1" t="s">
        <v>641</v>
      </c>
      <c r="J19" s="1" t="s">
        <v>197</v>
      </c>
      <c r="K19" s="1" t="s">
        <v>158</v>
      </c>
      <c r="L19" s="1"/>
      <c r="M19" s="1"/>
      <c r="N19" s="1"/>
      <c r="O19" s="1"/>
      <c r="P19" s="1"/>
      <c r="Q19" s="1"/>
      <c r="R19" s="1" t="s">
        <v>642</v>
      </c>
      <c r="S19" s="1"/>
      <c r="T19" s="1"/>
      <c r="U19" s="1"/>
      <c r="V19" s="1"/>
      <c r="W19" s="1"/>
      <c r="X19" s="1" t="s">
        <v>750</v>
      </c>
      <c r="Y19" s="1" t="s">
        <v>751</v>
      </c>
      <c r="Z19" s="1" t="s">
        <v>752</v>
      </c>
      <c r="AA19" s="1" t="s">
        <v>72</v>
      </c>
      <c r="AB19" s="1" t="s">
        <v>1221</v>
      </c>
      <c r="AC19" s="1" t="s">
        <v>1222</v>
      </c>
      <c r="AD19" s="1" t="s">
        <v>1223</v>
      </c>
      <c r="AE19" s="1" t="s">
        <v>1181</v>
      </c>
    </row>
    <row r="20" spans="1:31" ht="132" x14ac:dyDescent="0.3">
      <c r="A20" s="1" t="s">
        <v>635</v>
      </c>
      <c r="B20" s="1" t="s">
        <v>753</v>
      </c>
      <c r="C20" s="1" t="s">
        <v>637</v>
      </c>
      <c r="D20" s="1" t="s">
        <v>754</v>
      </c>
      <c r="E20" s="1" t="s">
        <v>755</v>
      </c>
      <c r="F20" s="1" t="s">
        <v>396</v>
      </c>
      <c r="G20" s="1"/>
      <c r="H20" s="1"/>
      <c r="I20" s="1" t="s">
        <v>641</v>
      </c>
      <c r="J20" s="1"/>
      <c r="K20" s="1" t="s">
        <v>158</v>
      </c>
      <c r="L20" s="1"/>
      <c r="M20" s="1"/>
      <c r="N20" s="1" t="s">
        <v>519</v>
      </c>
      <c r="O20" s="1"/>
      <c r="P20" s="1"/>
      <c r="Q20" s="1"/>
      <c r="R20" s="1" t="s">
        <v>642</v>
      </c>
      <c r="S20" s="1"/>
      <c r="T20" s="1"/>
      <c r="U20" s="1"/>
      <c r="V20" s="1"/>
      <c r="W20" s="1"/>
      <c r="X20" s="1" t="s">
        <v>756</v>
      </c>
      <c r="Y20" s="1" t="s">
        <v>644</v>
      </c>
      <c r="Z20" s="1" t="s">
        <v>757</v>
      </c>
      <c r="AA20" s="1" t="s">
        <v>73</v>
      </c>
      <c r="AB20" s="1" t="s">
        <v>1175</v>
      </c>
      <c r="AC20" s="1" t="s">
        <v>1224</v>
      </c>
      <c r="AD20" s="1" t="s">
        <v>1177</v>
      </c>
      <c r="AE20" s="1" t="s">
        <v>1178</v>
      </c>
    </row>
    <row r="21" spans="1:31" ht="132" x14ac:dyDescent="0.3">
      <c r="A21" s="1" t="s">
        <v>635</v>
      </c>
      <c r="B21" s="1" t="s">
        <v>758</v>
      </c>
      <c r="C21" s="1" t="s">
        <v>637</v>
      </c>
      <c r="D21" s="1" t="s">
        <v>759</v>
      </c>
      <c r="E21" s="1" t="s">
        <v>682</v>
      </c>
      <c r="F21" s="1"/>
      <c r="G21" s="1" t="s">
        <v>337</v>
      </c>
      <c r="H21" s="1"/>
      <c r="I21" s="1" t="s">
        <v>641</v>
      </c>
      <c r="J21" s="1"/>
      <c r="K21" s="1" t="s">
        <v>158</v>
      </c>
      <c r="L21" s="1"/>
      <c r="M21" s="1"/>
      <c r="N21" s="1" t="s">
        <v>567</v>
      </c>
      <c r="O21" s="1"/>
      <c r="P21" s="1"/>
      <c r="Q21" s="1"/>
      <c r="R21" s="1" t="s">
        <v>642</v>
      </c>
      <c r="S21" s="1"/>
      <c r="T21" s="1"/>
      <c r="U21" s="1"/>
      <c r="V21" s="1"/>
      <c r="W21" s="1"/>
      <c r="X21" s="1" t="s">
        <v>760</v>
      </c>
      <c r="Y21" s="1" t="s">
        <v>665</v>
      </c>
      <c r="Z21" s="1" t="s">
        <v>761</v>
      </c>
      <c r="AA21" s="1" t="s">
        <v>74</v>
      </c>
      <c r="AB21" s="1" t="s">
        <v>1196</v>
      </c>
      <c r="AC21" s="1" t="s">
        <v>337</v>
      </c>
      <c r="AD21" s="1" t="s">
        <v>1188</v>
      </c>
      <c r="AE21" s="1" t="s">
        <v>1181</v>
      </c>
    </row>
    <row r="22" spans="1:31" ht="264" x14ac:dyDescent="0.3">
      <c r="A22" s="1" t="s">
        <v>635</v>
      </c>
      <c r="B22" s="1" t="s">
        <v>762</v>
      </c>
      <c r="C22" s="1" t="s">
        <v>637</v>
      </c>
      <c r="D22" s="1" t="s">
        <v>763</v>
      </c>
      <c r="E22" s="1" t="s">
        <v>764</v>
      </c>
      <c r="F22" s="1"/>
      <c r="G22" s="1" t="s">
        <v>296</v>
      </c>
      <c r="H22" s="1" t="s">
        <v>765</v>
      </c>
      <c r="I22" s="1" t="s">
        <v>298</v>
      </c>
      <c r="J22" s="1"/>
      <c r="K22" s="1" t="s">
        <v>158</v>
      </c>
      <c r="L22" s="1"/>
      <c r="M22" s="1"/>
      <c r="N22" s="1" t="s">
        <v>724</v>
      </c>
      <c r="O22" s="1"/>
      <c r="P22" s="1"/>
      <c r="Q22" s="1"/>
      <c r="R22" s="1" t="s">
        <v>454</v>
      </c>
      <c r="S22" s="1"/>
      <c r="T22" s="1"/>
      <c r="U22" s="1"/>
      <c r="V22" s="1"/>
      <c r="W22" s="1"/>
      <c r="X22" s="1" t="s">
        <v>766</v>
      </c>
      <c r="Y22" s="1" t="s">
        <v>767</v>
      </c>
      <c r="Z22" s="1" t="s">
        <v>768</v>
      </c>
      <c r="AA22" s="1" t="s">
        <v>75</v>
      </c>
      <c r="AB22" s="1" t="s">
        <v>1225</v>
      </c>
      <c r="AC22" s="1" t="s">
        <v>1226</v>
      </c>
      <c r="AD22" s="1" t="s">
        <v>1227</v>
      </c>
      <c r="AE22" s="1" t="s">
        <v>1228</v>
      </c>
    </row>
    <row r="23" spans="1:31" ht="148.5" x14ac:dyDescent="0.3">
      <c r="A23" s="1" t="s">
        <v>635</v>
      </c>
      <c r="B23" s="1" t="s">
        <v>769</v>
      </c>
      <c r="C23" s="1" t="s">
        <v>637</v>
      </c>
      <c r="D23" s="1" t="s">
        <v>770</v>
      </c>
      <c r="E23" s="1" t="s">
        <v>771</v>
      </c>
      <c r="F23" s="1"/>
      <c r="G23" s="1"/>
      <c r="H23" s="1" t="s">
        <v>772</v>
      </c>
      <c r="I23" s="1" t="s">
        <v>338</v>
      </c>
      <c r="J23" s="1"/>
      <c r="K23" s="1" t="s">
        <v>158</v>
      </c>
      <c r="L23" s="1"/>
      <c r="M23" s="1"/>
      <c r="N23" s="1" t="s">
        <v>649</v>
      </c>
      <c r="O23" s="1"/>
      <c r="P23" s="1"/>
      <c r="Q23" s="1"/>
      <c r="R23" s="1" t="s">
        <v>454</v>
      </c>
      <c r="S23" s="1"/>
      <c r="T23" s="1"/>
      <c r="U23" s="1"/>
      <c r="V23" s="1"/>
      <c r="W23" s="1"/>
      <c r="X23" s="1" t="s">
        <v>773</v>
      </c>
      <c r="Y23" s="1" t="s">
        <v>774</v>
      </c>
      <c r="Z23" s="1" t="s">
        <v>775</v>
      </c>
      <c r="AA23" s="1" t="s">
        <v>76</v>
      </c>
      <c r="AB23" s="1" t="s">
        <v>1225</v>
      </c>
      <c r="AC23" s="1" t="s">
        <v>1229</v>
      </c>
      <c r="AD23" s="1"/>
      <c r="AE23" s="1" t="s">
        <v>1228</v>
      </c>
    </row>
    <row r="24" spans="1:31" ht="132" x14ac:dyDescent="0.3">
      <c r="A24" s="1" t="s">
        <v>635</v>
      </c>
      <c r="B24" s="1" t="s">
        <v>776</v>
      </c>
      <c r="C24" s="1" t="s">
        <v>637</v>
      </c>
      <c r="D24" s="1" t="s">
        <v>777</v>
      </c>
      <c r="E24" s="1" t="s">
        <v>778</v>
      </c>
      <c r="F24" s="1" t="s">
        <v>336</v>
      </c>
      <c r="G24" s="1"/>
      <c r="H24" s="1"/>
      <c r="I24" s="1" t="s">
        <v>641</v>
      </c>
      <c r="J24" s="1" t="s">
        <v>339</v>
      </c>
      <c r="K24" s="1" t="s">
        <v>158</v>
      </c>
      <c r="L24" s="1"/>
      <c r="M24" s="1"/>
      <c r="N24" s="1" t="s">
        <v>519</v>
      </c>
      <c r="O24" s="1"/>
      <c r="P24" s="1"/>
      <c r="Q24" s="1"/>
      <c r="R24" s="1"/>
      <c r="S24" s="1"/>
      <c r="T24" s="1"/>
      <c r="U24" s="1"/>
      <c r="V24" s="1"/>
      <c r="W24" s="1"/>
      <c r="X24" s="1" t="s">
        <v>779</v>
      </c>
      <c r="Y24" s="1" t="s">
        <v>644</v>
      </c>
      <c r="Z24" s="1" t="s">
        <v>780</v>
      </c>
      <c r="AA24" s="1" t="s">
        <v>77</v>
      </c>
      <c r="AB24" s="1" t="s">
        <v>1186</v>
      </c>
      <c r="AC24" s="1" t="s">
        <v>1230</v>
      </c>
      <c r="AD24" s="1" t="s">
        <v>1177</v>
      </c>
      <c r="AE24" s="1" t="s">
        <v>1185</v>
      </c>
    </row>
    <row r="25" spans="1:31" ht="148.5" x14ac:dyDescent="0.3">
      <c r="A25" s="1" t="s">
        <v>635</v>
      </c>
      <c r="B25" s="1" t="s">
        <v>781</v>
      </c>
      <c r="C25" s="1" t="s">
        <v>637</v>
      </c>
      <c r="D25" s="1" t="s">
        <v>782</v>
      </c>
      <c r="E25" s="1" t="s">
        <v>755</v>
      </c>
      <c r="F25" s="1" t="s">
        <v>396</v>
      </c>
      <c r="G25" s="1"/>
      <c r="H25" s="1"/>
      <c r="I25" s="1" t="s">
        <v>641</v>
      </c>
      <c r="J25" s="1"/>
      <c r="K25" s="1" t="s">
        <v>158</v>
      </c>
      <c r="L25" s="1"/>
      <c r="M25" s="1"/>
      <c r="N25" s="1" t="s">
        <v>656</v>
      </c>
      <c r="O25" s="1"/>
      <c r="P25" s="1"/>
      <c r="Q25" s="1"/>
      <c r="R25" s="1" t="s">
        <v>657</v>
      </c>
      <c r="S25" s="1"/>
      <c r="T25" s="1"/>
      <c r="U25" s="1"/>
      <c r="V25" s="1"/>
      <c r="W25" s="1"/>
      <c r="X25" s="1" t="s">
        <v>695</v>
      </c>
      <c r="Y25" s="1" t="s">
        <v>783</v>
      </c>
      <c r="Z25" s="1" t="s">
        <v>784</v>
      </c>
      <c r="AA25" s="1" t="s">
        <v>78</v>
      </c>
      <c r="AB25" s="1" t="s">
        <v>1200</v>
      </c>
      <c r="AC25" s="1" t="s">
        <v>1224</v>
      </c>
      <c r="AD25" s="1" t="s">
        <v>1231</v>
      </c>
      <c r="AE25" s="1" t="s">
        <v>1202</v>
      </c>
    </row>
    <row r="26" spans="1:31" ht="148.5" x14ac:dyDescent="0.3">
      <c r="A26" s="1" t="s">
        <v>635</v>
      </c>
      <c r="B26" s="1" t="s">
        <v>785</v>
      </c>
      <c r="C26" s="1" t="s">
        <v>637</v>
      </c>
      <c r="D26" s="1" t="s">
        <v>786</v>
      </c>
      <c r="E26" s="1" t="s">
        <v>787</v>
      </c>
      <c r="F26" s="1"/>
      <c r="G26" s="1"/>
      <c r="H26" s="1"/>
      <c r="I26" s="1" t="s">
        <v>641</v>
      </c>
      <c r="J26" s="1"/>
      <c r="K26" s="1" t="s">
        <v>158</v>
      </c>
      <c r="L26" s="1"/>
      <c r="M26" s="1"/>
      <c r="N26" s="1" t="s">
        <v>656</v>
      </c>
      <c r="O26" s="1"/>
      <c r="P26" s="1"/>
      <c r="Q26" s="1"/>
      <c r="R26" s="1" t="s">
        <v>657</v>
      </c>
      <c r="S26" s="1"/>
      <c r="T26" s="1"/>
      <c r="U26" s="1"/>
      <c r="V26" s="1"/>
      <c r="W26" s="1"/>
      <c r="X26" s="1" t="s">
        <v>788</v>
      </c>
      <c r="Y26" s="1" t="s">
        <v>644</v>
      </c>
      <c r="Z26" s="1" t="s">
        <v>789</v>
      </c>
      <c r="AA26" s="1" t="s">
        <v>79</v>
      </c>
      <c r="AB26" s="1" t="s">
        <v>1208</v>
      </c>
      <c r="AC26" s="1" t="s">
        <v>1222</v>
      </c>
      <c r="AD26" s="1" t="s">
        <v>1177</v>
      </c>
      <c r="AE26" s="1" t="s">
        <v>1195</v>
      </c>
    </row>
    <row r="27" spans="1:31" ht="198" x14ac:dyDescent="0.3">
      <c r="A27" s="1" t="s">
        <v>635</v>
      </c>
      <c r="B27" s="1" t="s">
        <v>790</v>
      </c>
      <c r="C27" s="1" t="s">
        <v>637</v>
      </c>
      <c r="D27" s="1" t="s">
        <v>791</v>
      </c>
      <c r="E27" s="1" t="s">
        <v>637</v>
      </c>
      <c r="F27" s="1"/>
      <c r="G27" s="1"/>
      <c r="H27" s="1"/>
      <c r="I27" s="1" t="s">
        <v>641</v>
      </c>
      <c r="J27" s="1"/>
      <c r="K27" s="1" t="s">
        <v>158</v>
      </c>
      <c r="L27" s="1"/>
      <c r="M27" s="1"/>
      <c r="N27" s="1" t="s">
        <v>567</v>
      </c>
      <c r="O27" s="1"/>
      <c r="P27" s="1"/>
      <c r="Q27" s="1"/>
      <c r="R27" s="1" t="s">
        <v>671</v>
      </c>
      <c r="S27" s="1"/>
      <c r="T27" s="1"/>
      <c r="U27" s="1"/>
      <c r="V27" s="1"/>
      <c r="W27" s="1"/>
      <c r="X27" s="1" t="s">
        <v>792</v>
      </c>
      <c r="Y27" s="1" t="s">
        <v>793</v>
      </c>
      <c r="Z27" s="1" t="s">
        <v>794</v>
      </c>
      <c r="AA27" s="1" t="s">
        <v>80</v>
      </c>
      <c r="AB27" s="1" t="s">
        <v>1175</v>
      </c>
      <c r="AC27" s="1" t="s">
        <v>1222</v>
      </c>
      <c r="AD27" s="1" t="s">
        <v>1232</v>
      </c>
      <c r="AE27" s="1" t="s">
        <v>1178</v>
      </c>
    </row>
    <row r="28" spans="1:31" ht="148.5" x14ac:dyDescent="0.3">
      <c r="A28" s="1" t="s">
        <v>635</v>
      </c>
      <c r="B28" s="1" t="s">
        <v>795</v>
      </c>
      <c r="C28" s="1" t="s">
        <v>637</v>
      </c>
      <c r="D28" s="1" t="s">
        <v>796</v>
      </c>
      <c r="E28" s="1" t="s">
        <v>637</v>
      </c>
      <c r="F28" s="1"/>
      <c r="G28" s="1"/>
      <c r="H28" s="1"/>
      <c r="I28" s="1" t="s">
        <v>641</v>
      </c>
      <c r="J28" s="1"/>
      <c r="K28" s="1" t="s">
        <v>158</v>
      </c>
      <c r="L28" s="1"/>
      <c r="M28" s="1"/>
      <c r="N28" s="1" t="s">
        <v>649</v>
      </c>
      <c r="O28" s="1"/>
      <c r="P28" s="1"/>
      <c r="Q28" s="1"/>
      <c r="R28" s="1" t="s">
        <v>671</v>
      </c>
      <c r="S28" s="1"/>
      <c r="T28" s="1"/>
      <c r="U28" s="1"/>
      <c r="V28" s="1"/>
      <c r="W28" s="1"/>
      <c r="X28" s="1" t="s">
        <v>797</v>
      </c>
      <c r="Y28" s="1" t="s">
        <v>644</v>
      </c>
      <c r="Z28" s="1" t="s">
        <v>798</v>
      </c>
      <c r="AA28" s="1" t="s">
        <v>81</v>
      </c>
      <c r="AB28" s="1" t="s">
        <v>1233</v>
      </c>
      <c r="AC28" s="1" t="s">
        <v>1222</v>
      </c>
      <c r="AD28" s="1" t="s">
        <v>1177</v>
      </c>
      <c r="AE28" s="1" t="s">
        <v>1178</v>
      </c>
    </row>
    <row r="29" spans="1:31" ht="132" x14ac:dyDescent="0.3">
      <c r="A29" s="1" t="s">
        <v>635</v>
      </c>
      <c r="B29" s="1" t="s">
        <v>799</v>
      </c>
      <c r="C29" s="1" t="s">
        <v>637</v>
      </c>
      <c r="D29" s="1" t="s">
        <v>800</v>
      </c>
      <c r="E29" s="1" t="s">
        <v>682</v>
      </c>
      <c r="F29" s="1"/>
      <c r="G29" s="1" t="s">
        <v>337</v>
      </c>
      <c r="H29" s="1"/>
      <c r="I29" s="1" t="s">
        <v>641</v>
      </c>
      <c r="J29" s="1"/>
      <c r="K29" s="1" t="s">
        <v>158</v>
      </c>
      <c r="L29" s="1"/>
      <c r="M29" s="1"/>
      <c r="N29" s="1" t="s">
        <v>567</v>
      </c>
      <c r="O29" s="1"/>
      <c r="P29" s="1"/>
      <c r="Q29" s="1"/>
      <c r="R29" s="1" t="s">
        <v>642</v>
      </c>
      <c r="S29" s="1"/>
      <c r="T29" s="1"/>
      <c r="U29" s="1"/>
      <c r="V29" s="1"/>
      <c r="W29" s="1"/>
      <c r="X29" s="1" t="s">
        <v>801</v>
      </c>
      <c r="Y29" s="1" t="s">
        <v>665</v>
      </c>
      <c r="Z29" s="1" t="s">
        <v>802</v>
      </c>
      <c r="AA29" s="1" t="s">
        <v>82</v>
      </c>
      <c r="AB29" s="1" t="s">
        <v>1234</v>
      </c>
      <c r="AC29" s="1" t="s">
        <v>337</v>
      </c>
      <c r="AD29" s="1" t="s">
        <v>1188</v>
      </c>
      <c r="AE29" s="1" t="s">
        <v>1211</v>
      </c>
    </row>
    <row r="30" spans="1:31" ht="148.5" x14ac:dyDescent="0.3">
      <c r="A30" s="1" t="s">
        <v>635</v>
      </c>
      <c r="B30" s="1" t="s">
        <v>803</v>
      </c>
      <c r="C30" s="1" t="s">
        <v>637</v>
      </c>
      <c r="D30" s="1" t="s">
        <v>804</v>
      </c>
      <c r="E30" s="1" t="s">
        <v>805</v>
      </c>
      <c r="F30" s="1"/>
      <c r="G30" s="1"/>
      <c r="H30" s="1" t="s">
        <v>298</v>
      </c>
      <c r="I30" s="1" t="s">
        <v>298</v>
      </c>
      <c r="J30" s="1"/>
      <c r="K30" s="1" t="s">
        <v>158</v>
      </c>
      <c r="L30" s="1"/>
      <c r="M30" s="1"/>
      <c r="N30" s="1" t="s">
        <v>519</v>
      </c>
      <c r="O30" s="1"/>
      <c r="P30" s="1"/>
      <c r="Q30" s="1"/>
      <c r="R30" s="1" t="s">
        <v>657</v>
      </c>
      <c r="S30" s="1"/>
      <c r="T30" s="1"/>
      <c r="U30" s="1"/>
      <c r="V30" s="1"/>
      <c r="W30" s="1"/>
      <c r="X30" s="1" t="s">
        <v>806</v>
      </c>
      <c r="Y30" s="1" t="s">
        <v>807</v>
      </c>
      <c r="Z30" s="1" t="s">
        <v>808</v>
      </c>
      <c r="AA30" s="1" t="s">
        <v>83</v>
      </c>
      <c r="AB30" s="1" t="s">
        <v>1235</v>
      </c>
      <c r="AC30" s="1" t="s">
        <v>298</v>
      </c>
      <c r="AD30" s="1"/>
      <c r="AE30" s="1" t="s">
        <v>1228</v>
      </c>
    </row>
    <row r="31" spans="1:31" ht="165" x14ac:dyDescent="0.3">
      <c r="A31" s="1" t="s">
        <v>635</v>
      </c>
      <c r="B31" s="1" t="s">
        <v>809</v>
      </c>
      <c r="C31" s="1" t="s">
        <v>637</v>
      </c>
      <c r="D31" s="1" t="s">
        <v>810</v>
      </c>
      <c r="E31" s="1" t="s">
        <v>805</v>
      </c>
      <c r="F31" s="1"/>
      <c r="G31" s="1"/>
      <c r="H31" s="1" t="s">
        <v>298</v>
      </c>
      <c r="I31" s="1" t="s">
        <v>298</v>
      </c>
      <c r="J31" s="1"/>
      <c r="K31" s="1" t="s">
        <v>158</v>
      </c>
      <c r="L31" s="1"/>
      <c r="M31" s="1"/>
      <c r="N31" s="1" t="s">
        <v>656</v>
      </c>
      <c r="O31" s="1"/>
      <c r="P31" s="1"/>
      <c r="Q31" s="1"/>
      <c r="R31" s="1" t="s">
        <v>657</v>
      </c>
      <c r="S31" s="1"/>
      <c r="T31" s="1"/>
      <c r="U31" s="1"/>
      <c r="V31" s="1"/>
      <c r="W31" s="1"/>
      <c r="X31" s="1" t="s">
        <v>677</v>
      </c>
      <c r="Y31" s="1" t="s">
        <v>811</v>
      </c>
      <c r="Z31" s="1" t="s">
        <v>812</v>
      </c>
      <c r="AA31" s="1" t="s">
        <v>84</v>
      </c>
      <c r="AB31" s="1" t="s">
        <v>1236</v>
      </c>
      <c r="AC31" s="1" t="s">
        <v>298</v>
      </c>
      <c r="AD31" s="1"/>
      <c r="AE31" s="1" t="s">
        <v>1228</v>
      </c>
    </row>
    <row r="32" spans="1:31" ht="148.5" x14ac:dyDescent="0.3">
      <c r="A32" s="1" t="s">
        <v>635</v>
      </c>
      <c r="B32" s="1" t="s">
        <v>813</v>
      </c>
      <c r="C32" s="1" t="s">
        <v>637</v>
      </c>
      <c r="D32" s="1" t="s">
        <v>814</v>
      </c>
      <c r="E32" s="1" t="s">
        <v>805</v>
      </c>
      <c r="F32" s="1"/>
      <c r="G32" s="1"/>
      <c r="H32" s="1" t="s">
        <v>298</v>
      </c>
      <c r="I32" s="1" t="s">
        <v>298</v>
      </c>
      <c r="J32" s="1"/>
      <c r="K32" s="1" t="s">
        <v>158</v>
      </c>
      <c r="L32" s="1"/>
      <c r="M32" s="1"/>
      <c r="N32" s="1" t="s">
        <v>724</v>
      </c>
      <c r="O32" s="1"/>
      <c r="P32" s="1"/>
      <c r="Q32" s="1"/>
      <c r="R32" s="1" t="s">
        <v>454</v>
      </c>
      <c r="S32" s="1"/>
      <c r="T32" s="1"/>
      <c r="U32" s="1"/>
      <c r="V32" s="1"/>
      <c r="W32" s="1"/>
      <c r="X32" s="1" t="s">
        <v>731</v>
      </c>
      <c r="Y32" s="1" t="s">
        <v>807</v>
      </c>
      <c r="Z32" s="1" t="s">
        <v>815</v>
      </c>
      <c r="AA32" s="1" t="s">
        <v>85</v>
      </c>
      <c r="AB32" s="1" t="s">
        <v>1225</v>
      </c>
      <c r="AC32" s="1" t="s">
        <v>1237</v>
      </c>
      <c r="AD32" s="1"/>
      <c r="AE32" s="1" t="s">
        <v>1228</v>
      </c>
    </row>
    <row r="33" spans="1:31" ht="214.5" x14ac:dyDescent="0.3">
      <c r="A33" s="1" t="s">
        <v>635</v>
      </c>
      <c r="B33" s="1" t="s">
        <v>816</v>
      </c>
      <c r="C33" s="1" t="s">
        <v>637</v>
      </c>
      <c r="D33" s="1" t="s">
        <v>817</v>
      </c>
      <c r="E33" s="1" t="s">
        <v>805</v>
      </c>
      <c r="F33" s="1"/>
      <c r="G33" s="1"/>
      <c r="H33" s="1" t="s">
        <v>298</v>
      </c>
      <c r="I33" s="1" t="s">
        <v>298</v>
      </c>
      <c r="J33" s="1"/>
      <c r="K33" s="1" t="s">
        <v>158</v>
      </c>
      <c r="L33" s="1"/>
      <c r="M33" s="1"/>
      <c r="N33" s="1" t="s">
        <v>724</v>
      </c>
      <c r="O33" s="1"/>
      <c r="P33" s="1"/>
      <c r="Q33" s="1"/>
      <c r="R33" s="1" t="s">
        <v>454</v>
      </c>
      <c r="S33" s="1"/>
      <c r="T33" s="1"/>
      <c r="U33" s="1"/>
      <c r="V33" s="1"/>
      <c r="W33" s="1"/>
      <c r="X33" s="1" t="s">
        <v>818</v>
      </c>
      <c r="Y33" s="1" t="s">
        <v>819</v>
      </c>
      <c r="Z33" s="1" t="s">
        <v>820</v>
      </c>
      <c r="AA33" s="1" t="s">
        <v>821</v>
      </c>
      <c r="AB33" s="1" t="s">
        <v>1225</v>
      </c>
      <c r="AC33" s="1" t="s">
        <v>1237</v>
      </c>
      <c r="AD33" s="1"/>
      <c r="AE33" s="1" t="s">
        <v>1228</v>
      </c>
    </row>
    <row r="34" spans="1:31" ht="198" x14ac:dyDescent="0.3">
      <c r="A34" s="1" t="s">
        <v>635</v>
      </c>
      <c r="B34" s="1" t="s">
        <v>822</v>
      </c>
      <c r="C34" s="1" t="s">
        <v>637</v>
      </c>
      <c r="D34" s="1" t="s">
        <v>823</v>
      </c>
      <c r="E34" s="1" t="s">
        <v>755</v>
      </c>
      <c r="F34" s="1" t="s">
        <v>396</v>
      </c>
      <c r="G34" s="1"/>
      <c r="H34" s="1"/>
      <c r="I34" s="1" t="s">
        <v>641</v>
      </c>
      <c r="J34" s="1" t="s">
        <v>824</v>
      </c>
      <c r="K34" s="1" t="s">
        <v>158</v>
      </c>
      <c r="L34" s="1"/>
      <c r="M34" s="1"/>
      <c r="N34" s="1" t="s">
        <v>656</v>
      </c>
      <c r="O34" s="1"/>
      <c r="P34" s="1"/>
      <c r="Q34" s="1"/>
      <c r="R34" s="1" t="s">
        <v>657</v>
      </c>
      <c r="S34" s="1"/>
      <c r="T34" s="1"/>
      <c r="U34" s="1"/>
      <c r="V34" s="1"/>
      <c r="W34" s="1"/>
      <c r="X34" s="1" t="s">
        <v>718</v>
      </c>
      <c r="Y34" s="1" t="s">
        <v>651</v>
      </c>
      <c r="Z34" s="1" t="s">
        <v>825</v>
      </c>
      <c r="AA34" s="1" t="s">
        <v>87</v>
      </c>
      <c r="AB34" s="1" t="s">
        <v>1238</v>
      </c>
      <c r="AC34" s="1" t="s">
        <v>1224</v>
      </c>
      <c r="AD34" s="1"/>
      <c r="AE34" s="1" t="s">
        <v>1185</v>
      </c>
    </row>
    <row r="35" spans="1:31" ht="148.5" x14ac:dyDescent="0.3">
      <c r="A35" s="1" t="s">
        <v>635</v>
      </c>
      <c r="B35" s="1" t="s">
        <v>826</v>
      </c>
      <c r="C35" s="1" t="s">
        <v>637</v>
      </c>
      <c r="D35" s="1" t="s">
        <v>827</v>
      </c>
      <c r="E35" s="1" t="s">
        <v>663</v>
      </c>
      <c r="F35" s="1" t="s">
        <v>184</v>
      </c>
      <c r="G35" s="1" t="s">
        <v>337</v>
      </c>
      <c r="H35" s="1"/>
      <c r="I35" s="1" t="s">
        <v>641</v>
      </c>
      <c r="J35" s="1" t="s">
        <v>828</v>
      </c>
      <c r="K35" s="1" t="s">
        <v>158</v>
      </c>
      <c r="L35" s="1"/>
      <c r="M35" s="1"/>
      <c r="N35" s="1" t="s">
        <v>656</v>
      </c>
      <c r="O35" s="1"/>
      <c r="P35" s="1"/>
      <c r="Q35" s="1"/>
      <c r="R35" s="1" t="s">
        <v>657</v>
      </c>
      <c r="S35" s="1"/>
      <c r="T35" s="1"/>
      <c r="U35" s="1"/>
      <c r="V35" s="1"/>
      <c r="W35" s="1"/>
      <c r="X35" s="1" t="s">
        <v>829</v>
      </c>
      <c r="Y35" s="1" t="s">
        <v>665</v>
      </c>
      <c r="Z35" s="1" t="s">
        <v>830</v>
      </c>
      <c r="AA35" s="1" t="s">
        <v>88</v>
      </c>
      <c r="AB35" s="1" t="s">
        <v>1196</v>
      </c>
      <c r="AC35" s="1" t="s">
        <v>1187</v>
      </c>
      <c r="AD35" s="1" t="s">
        <v>1188</v>
      </c>
      <c r="AE35" s="1" t="s">
        <v>1181</v>
      </c>
    </row>
    <row r="36" spans="1:31" ht="313.5" x14ac:dyDescent="0.3">
      <c r="A36" s="1" t="s">
        <v>635</v>
      </c>
      <c r="B36" s="1" t="s">
        <v>831</v>
      </c>
      <c r="C36" s="1" t="s">
        <v>637</v>
      </c>
      <c r="D36" s="1" t="s">
        <v>832</v>
      </c>
      <c r="E36" s="1" t="s">
        <v>833</v>
      </c>
      <c r="F36" s="1"/>
      <c r="G36" s="1" t="s">
        <v>296</v>
      </c>
      <c r="H36" s="1" t="s">
        <v>834</v>
      </c>
      <c r="I36" s="1" t="s">
        <v>387</v>
      </c>
      <c r="J36" s="1"/>
      <c r="K36" s="1" t="s">
        <v>158</v>
      </c>
      <c r="L36" s="1"/>
      <c r="M36" s="1"/>
      <c r="N36" s="1" t="s">
        <v>656</v>
      </c>
      <c r="O36" s="1"/>
      <c r="P36" s="1"/>
      <c r="Q36" s="1"/>
      <c r="R36" s="1" t="s">
        <v>290</v>
      </c>
      <c r="S36" s="1"/>
      <c r="T36" s="1"/>
      <c r="U36" s="1"/>
      <c r="V36" s="1"/>
      <c r="W36" s="1"/>
      <c r="X36" s="1" t="s">
        <v>713</v>
      </c>
      <c r="Y36" s="1" t="s">
        <v>835</v>
      </c>
      <c r="Z36" s="1" t="s">
        <v>836</v>
      </c>
      <c r="AA36" s="1" t="s">
        <v>89</v>
      </c>
      <c r="AB36" s="1" t="s">
        <v>1239</v>
      </c>
      <c r="AC36" s="1" t="s">
        <v>1240</v>
      </c>
      <c r="AD36" s="1" t="s">
        <v>1241</v>
      </c>
      <c r="AE36" s="1" t="s">
        <v>1195</v>
      </c>
    </row>
    <row r="37" spans="1:31" ht="148.5" x14ac:dyDescent="0.3">
      <c r="A37" s="1" t="s">
        <v>635</v>
      </c>
      <c r="B37" s="1" t="s">
        <v>837</v>
      </c>
      <c r="C37" s="1" t="s">
        <v>637</v>
      </c>
      <c r="D37" s="1" t="s">
        <v>838</v>
      </c>
      <c r="E37" s="1" t="s">
        <v>805</v>
      </c>
      <c r="F37" s="1"/>
      <c r="G37" s="1"/>
      <c r="H37" s="1" t="s">
        <v>298</v>
      </c>
      <c r="I37" s="1" t="s">
        <v>298</v>
      </c>
      <c r="J37" s="1"/>
      <c r="K37" s="1" t="s">
        <v>158</v>
      </c>
      <c r="L37" s="1"/>
      <c r="M37" s="1"/>
      <c r="N37" s="1" t="s">
        <v>656</v>
      </c>
      <c r="O37" s="1"/>
      <c r="P37" s="1"/>
      <c r="Q37" s="1"/>
      <c r="R37" s="1" t="s">
        <v>642</v>
      </c>
      <c r="S37" s="1"/>
      <c r="T37" s="1"/>
      <c r="U37" s="1"/>
      <c r="V37" s="1"/>
      <c r="W37" s="1"/>
      <c r="X37" s="1" t="s">
        <v>839</v>
      </c>
      <c r="Y37" s="1" t="s">
        <v>807</v>
      </c>
      <c r="Z37" s="1" t="s">
        <v>840</v>
      </c>
      <c r="AA37" s="1" t="s">
        <v>90</v>
      </c>
      <c r="AB37" s="1" t="s">
        <v>1225</v>
      </c>
      <c r="AC37" s="1" t="s">
        <v>1237</v>
      </c>
      <c r="AD37" s="1"/>
      <c r="AE37" s="1" t="s">
        <v>1228</v>
      </c>
    </row>
    <row r="38" spans="1:31" ht="148.5" x14ac:dyDescent="0.3">
      <c r="A38" s="1" t="s">
        <v>635</v>
      </c>
      <c r="B38" s="1" t="s">
        <v>841</v>
      </c>
      <c r="C38" s="1" t="s">
        <v>637</v>
      </c>
      <c r="D38" s="1" t="s">
        <v>842</v>
      </c>
      <c r="E38" s="1" t="s">
        <v>805</v>
      </c>
      <c r="F38" s="1"/>
      <c r="G38" s="1"/>
      <c r="H38" s="1" t="s">
        <v>298</v>
      </c>
      <c r="I38" s="1" t="s">
        <v>298</v>
      </c>
      <c r="J38" s="1"/>
      <c r="K38" s="1" t="s">
        <v>158</v>
      </c>
      <c r="L38" s="1"/>
      <c r="M38" s="1"/>
      <c r="N38" s="1" t="s">
        <v>519</v>
      </c>
      <c r="O38" s="1"/>
      <c r="P38" s="1"/>
      <c r="Q38" s="1"/>
      <c r="R38" s="1" t="s">
        <v>290</v>
      </c>
      <c r="S38" s="1"/>
      <c r="T38" s="1"/>
      <c r="U38" s="1"/>
      <c r="V38" s="1"/>
      <c r="W38" s="1"/>
      <c r="X38" s="1" t="s">
        <v>843</v>
      </c>
      <c r="Y38" s="1" t="s">
        <v>807</v>
      </c>
      <c r="Z38" s="1" t="s">
        <v>844</v>
      </c>
      <c r="AA38" s="1" t="s">
        <v>91</v>
      </c>
      <c r="AB38" s="1" t="s">
        <v>1236</v>
      </c>
      <c r="AC38" s="1" t="s">
        <v>298</v>
      </c>
      <c r="AD38" s="1"/>
      <c r="AE38" s="1" t="s">
        <v>1228</v>
      </c>
    </row>
    <row r="39" spans="1:31" ht="198" x14ac:dyDescent="0.3">
      <c r="A39" s="1" t="s">
        <v>635</v>
      </c>
      <c r="B39" s="1" t="s">
        <v>845</v>
      </c>
      <c r="C39" s="1" t="s">
        <v>637</v>
      </c>
      <c r="D39" s="1" t="s">
        <v>846</v>
      </c>
      <c r="E39" s="1" t="s">
        <v>805</v>
      </c>
      <c r="F39" s="1"/>
      <c r="G39" s="1"/>
      <c r="H39" s="1" t="s">
        <v>298</v>
      </c>
      <c r="I39" s="1" t="s">
        <v>298</v>
      </c>
      <c r="J39" s="1"/>
      <c r="K39" s="1" t="s">
        <v>158</v>
      </c>
      <c r="L39" s="1"/>
      <c r="M39" s="1"/>
      <c r="N39" s="1" t="s">
        <v>724</v>
      </c>
      <c r="O39" s="1"/>
      <c r="P39" s="1"/>
      <c r="Q39" s="1"/>
      <c r="R39" s="1" t="s">
        <v>454</v>
      </c>
      <c r="S39" s="1"/>
      <c r="T39" s="1"/>
      <c r="U39" s="1"/>
      <c r="V39" s="1"/>
      <c r="W39" s="1"/>
      <c r="X39" s="1" t="s">
        <v>847</v>
      </c>
      <c r="Y39" s="1" t="s">
        <v>807</v>
      </c>
      <c r="Z39" s="1" t="s">
        <v>848</v>
      </c>
      <c r="AA39" s="1" t="s">
        <v>92</v>
      </c>
      <c r="AB39" s="1" t="s">
        <v>1225</v>
      </c>
      <c r="AC39" s="1" t="s">
        <v>1229</v>
      </c>
      <c r="AD39" s="1"/>
      <c r="AE39" s="1" t="s">
        <v>1228</v>
      </c>
    </row>
    <row r="40" spans="1:31" ht="148.5" x14ac:dyDescent="0.3">
      <c r="A40" s="1" t="s">
        <v>635</v>
      </c>
      <c r="B40" s="1" t="s">
        <v>849</v>
      </c>
      <c r="C40" s="1" t="s">
        <v>637</v>
      </c>
      <c r="D40" s="1" t="s">
        <v>850</v>
      </c>
      <c r="E40" s="1" t="s">
        <v>805</v>
      </c>
      <c r="F40" s="1"/>
      <c r="G40" s="1"/>
      <c r="H40" s="1" t="s">
        <v>298</v>
      </c>
      <c r="I40" s="1" t="s">
        <v>298</v>
      </c>
      <c r="J40" s="1" t="s">
        <v>508</v>
      </c>
      <c r="K40" s="1" t="s">
        <v>158</v>
      </c>
      <c r="L40" s="1"/>
      <c r="M40" s="1"/>
      <c r="N40" s="1" t="s">
        <v>519</v>
      </c>
      <c r="O40" s="1"/>
      <c r="P40" s="1"/>
      <c r="Q40" s="1"/>
      <c r="R40" s="1" t="s">
        <v>657</v>
      </c>
      <c r="S40" s="1"/>
      <c r="T40" s="1"/>
      <c r="U40" s="1"/>
      <c r="V40" s="1"/>
      <c r="W40" s="1"/>
      <c r="X40" s="1" t="s">
        <v>851</v>
      </c>
      <c r="Y40" s="1" t="s">
        <v>807</v>
      </c>
      <c r="Z40" s="1" t="s">
        <v>852</v>
      </c>
      <c r="AA40" s="1" t="s">
        <v>93</v>
      </c>
      <c r="AB40" s="1" t="s">
        <v>1242</v>
      </c>
      <c r="AC40" s="1" t="s">
        <v>298</v>
      </c>
      <c r="AD40" s="1"/>
      <c r="AE40" s="1" t="s">
        <v>1228</v>
      </c>
    </row>
    <row r="41" spans="1:31" ht="181.5" x14ac:dyDescent="0.3">
      <c r="A41" s="1" t="s">
        <v>635</v>
      </c>
      <c r="B41" s="1" t="s">
        <v>853</v>
      </c>
      <c r="C41" s="1" t="s">
        <v>637</v>
      </c>
      <c r="D41" s="1" t="s">
        <v>854</v>
      </c>
      <c r="E41" s="1" t="s">
        <v>676</v>
      </c>
      <c r="F41" s="1"/>
      <c r="G41" s="1"/>
      <c r="H41" s="1"/>
      <c r="I41" s="1" t="s">
        <v>387</v>
      </c>
      <c r="J41" s="1"/>
      <c r="K41" s="1" t="s">
        <v>158</v>
      </c>
      <c r="L41" s="1"/>
      <c r="M41" s="1"/>
      <c r="N41" s="1" t="s">
        <v>649</v>
      </c>
      <c r="O41" s="1"/>
      <c r="P41" s="1"/>
      <c r="Q41" s="1"/>
      <c r="R41" s="1" t="s">
        <v>657</v>
      </c>
      <c r="S41" s="1"/>
      <c r="T41" s="1"/>
      <c r="U41" s="1"/>
      <c r="V41" s="1"/>
      <c r="W41" s="1"/>
      <c r="X41" s="1" t="s">
        <v>855</v>
      </c>
      <c r="Y41" s="1" t="s">
        <v>856</v>
      </c>
      <c r="Z41" s="1" t="s">
        <v>857</v>
      </c>
      <c r="AA41" s="1" t="s">
        <v>94</v>
      </c>
      <c r="AB41" s="1" t="s">
        <v>1192</v>
      </c>
      <c r="AC41" s="1" t="s">
        <v>1203</v>
      </c>
      <c r="AD41" s="1"/>
      <c r="AE41" s="1" t="s">
        <v>1195</v>
      </c>
    </row>
    <row r="42" spans="1:31" ht="214.5" x14ac:dyDescent="0.3">
      <c r="A42" s="1" t="s">
        <v>635</v>
      </c>
      <c r="B42" s="1" t="s">
        <v>858</v>
      </c>
      <c r="C42" s="1" t="s">
        <v>637</v>
      </c>
      <c r="D42" s="1" t="s">
        <v>859</v>
      </c>
      <c r="E42" s="1" t="s">
        <v>860</v>
      </c>
      <c r="F42" s="1" t="s">
        <v>861</v>
      </c>
      <c r="G42" s="1" t="s">
        <v>337</v>
      </c>
      <c r="H42" s="1" t="s">
        <v>298</v>
      </c>
      <c r="I42" s="1" t="s">
        <v>298</v>
      </c>
      <c r="J42" s="1"/>
      <c r="K42" s="1" t="s">
        <v>158</v>
      </c>
      <c r="L42" s="1"/>
      <c r="M42" s="1"/>
      <c r="N42" s="1" t="s">
        <v>656</v>
      </c>
      <c r="O42" s="1"/>
      <c r="P42" s="1"/>
      <c r="Q42" s="1"/>
      <c r="R42" s="1" t="s">
        <v>671</v>
      </c>
      <c r="S42" s="1"/>
      <c r="T42" s="1"/>
      <c r="U42" s="1"/>
      <c r="V42" s="1"/>
      <c r="W42" s="1"/>
      <c r="X42" s="1" t="s">
        <v>700</v>
      </c>
      <c r="Y42" s="1" t="s">
        <v>862</v>
      </c>
      <c r="Z42" s="1" t="s">
        <v>863</v>
      </c>
      <c r="AA42" s="1" t="s">
        <v>95</v>
      </c>
      <c r="AB42" s="1" t="s">
        <v>1243</v>
      </c>
      <c r="AC42" s="1" t="s">
        <v>1244</v>
      </c>
      <c r="AD42" s="1"/>
      <c r="AE42" s="1" t="s">
        <v>1228</v>
      </c>
    </row>
    <row r="43" spans="1:31" ht="165" x14ac:dyDescent="0.3">
      <c r="A43" s="1" t="s">
        <v>635</v>
      </c>
      <c r="B43" s="1" t="s">
        <v>864</v>
      </c>
      <c r="C43" s="1" t="s">
        <v>637</v>
      </c>
      <c r="D43" s="1" t="s">
        <v>865</v>
      </c>
      <c r="E43" s="1" t="s">
        <v>637</v>
      </c>
      <c r="F43" s="1"/>
      <c r="G43" s="1"/>
      <c r="H43" s="1"/>
      <c r="I43" s="1" t="s">
        <v>641</v>
      </c>
      <c r="J43" s="1" t="s">
        <v>339</v>
      </c>
      <c r="K43" s="1" t="s">
        <v>158</v>
      </c>
      <c r="L43" s="1"/>
      <c r="M43" s="1"/>
      <c r="N43" s="1" t="s">
        <v>656</v>
      </c>
      <c r="O43" s="1"/>
      <c r="P43" s="1"/>
      <c r="Q43" s="1"/>
      <c r="R43" s="1" t="s">
        <v>454</v>
      </c>
      <c r="S43" s="1"/>
      <c r="T43" s="1"/>
      <c r="U43" s="1"/>
      <c r="V43" s="1"/>
      <c r="W43" s="1"/>
      <c r="X43" s="1" t="s">
        <v>690</v>
      </c>
      <c r="Y43" s="1" t="s">
        <v>644</v>
      </c>
      <c r="Z43" s="1" t="s">
        <v>866</v>
      </c>
      <c r="AA43" s="1" t="s">
        <v>96</v>
      </c>
      <c r="AB43" s="1" t="s">
        <v>1186</v>
      </c>
      <c r="AC43" s="1" t="s">
        <v>1222</v>
      </c>
      <c r="AD43" s="1" t="s">
        <v>1177</v>
      </c>
      <c r="AE43" s="1" t="s">
        <v>1185</v>
      </c>
    </row>
    <row r="44" spans="1:31" ht="148.5" x14ac:dyDescent="0.3">
      <c r="A44" s="1" t="s">
        <v>635</v>
      </c>
      <c r="B44" s="1" t="s">
        <v>867</v>
      </c>
      <c r="C44" s="1" t="s">
        <v>637</v>
      </c>
      <c r="D44" s="1" t="s">
        <v>868</v>
      </c>
      <c r="E44" s="1" t="s">
        <v>778</v>
      </c>
      <c r="F44" s="1" t="s">
        <v>336</v>
      </c>
      <c r="G44" s="1"/>
      <c r="H44" s="1"/>
      <c r="I44" s="1" t="s">
        <v>641</v>
      </c>
      <c r="J44" s="1"/>
      <c r="K44" s="1" t="s">
        <v>158</v>
      </c>
      <c r="L44" s="1"/>
      <c r="M44" s="1"/>
      <c r="N44" s="1" t="s">
        <v>656</v>
      </c>
      <c r="O44" s="1"/>
      <c r="P44" s="1"/>
      <c r="Q44" s="1"/>
      <c r="R44" s="1" t="s">
        <v>642</v>
      </c>
      <c r="S44" s="1"/>
      <c r="T44" s="1"/>
      <c r="U44" s="1"/>
      <c r="V44" s="1"/>
      <c r="W44" s="1"/>
      <c r="X44" s="1" t="s">
        <v>869</v>
      </c>
      <c r="Y44" s="1" t="s">
        <v>651</v>
      </c>
      <c r="Z44" s="1" t="s">
        <v>870</v>
      </c>
      <c r="AA44" s="1" t="s">
        <v>97</v>
      </c>
      <c r="AB44" s="1" t="s">
        <v>1179</v>
      </c>
      <c r="AC44" s="1" t="s">
        <v>336</v>
      </c>
      <c r="AD44" s="1" t="s">
        <v>1245</v>
      </c>
      <c r="AE44" s="1" t="s">
        <v>1181</v>
      </c>
    </row>
    <row r="45" spans="1:31" ht="214.5" x14ac:dyDescent="0.3">
      <c r="A45" s="1" t="s">
        <v>635</v>
      </c>
      <c r="B45" s="1" t="s">
        <v>871</v>
      </c>
      <c r="C45" s="1" t="s">
        <v>637</v>
      </c>
      <c r="D45" s="1" t="s">
        <v>872</v>
      </c>
      <c r="E45" s="1" t="s">
        <v>805</v>
      </c>
      <c r="F45" s="1"/>
      <c r="G45" s="1"/>
      <c r="H45" s="1" t="s">
        <v>298</v>
      </c>
      <c r="I45" s="1" t="s">
        <v>298</v>
      </c>
      <c r="J45" s="1"/>
      <c r="K45" s="1" t="s">
        <v>158</v>
      </c>
      <c r="L45" s="1"/>
      <c r="M45" s="1"/>
      <c r="N45" s="1" t="s">
        <v>656</v>
      </c>
      <c r="O45" s="1"/>
      <c r="P45" s="1"/>
      <c r="Q45" s="1"/>
      <c r="R45" s="1" t="s">
        <v>290</v>
      </c>
      <c r="S45" s="1"/>
      <c r="T45" s="1"/>
      <c r="U45" s="1"/>
      <c r="V45" s="1"/>
      <c r="W45" s="1"/>
      <c r="X45" s="1"/>
      <c r="Y45" s="1" t="s">
        <v>819</v>
      </c>
      <c r="Z45" s="1" t="s">
        <v>874</v>
      </c>
      <c r="AA45" s="1" t="s">
        <v>98</v>
      </c>
      <c r="AB45" s="1" t="s">
        <v>1225</v>
      </c>
      <c r="AC45" s="1" t="s">
        <v>1237</v>
      </c>
      <c r="AD45" s="1"/>
      <c r="AE45" s="1" t="s">
        <v>1228</v>
      </c>
    </row>
    <row r="46" spans="1:31" ht="148.5" x14ac:dyDescent="0.3">
      <c r="A46" s="1" t="s">
        <v>635</v>
      </c>
      <c r="B46" s="1" t="s">
        <v>875</v>
      </c>
      <c r="C46" s="1" t="s">
        <v>637</v>
      </c>
      <c r="D46" s="1" t="s">
        <v>876</v>
      </c>
      <c r="E46" s="1" t="s">
        <v>778</v>
      </c>
      <c r="F46" s="1" t="s">
        <v>336</v>
      </c>
      <c r="G46" s="1"/>
      <c r="H46" s="1"/>
      <c r="I46" s="1" t="s">
        <v>641</v>
      </c>
      <c r="J46" s="1"/>
      <c r="K46" s="1" t="s">
        <v>158</v>
      </c>
      <c r="L46" s="1"/>
      <c r="M46" s="1"/>
      <c r="N46" s="1" t="s">
        <v>519</v>
      </c>
      <c r="O46" s="1"/>
      <c r="P46" s="1"/>
      <c r="Q46" s="1"/>
      <c r="R46" s="1" t="s">
        <v>657</v>
      </c>
      <c r="S46" s="1"/>
      <c r="T46" s="1"/>
      <c r="U46" s="1"/>
      <c r="V46" s="1"/>
      <c r="W46" s="1"/>
      <c r="X46" s="1" t="s">
        <v>877</v>
      </c>
      <c r="Y46" s="1" t="s">
        <v>644</v>
      </c>
      <c r="Z46" s="1" t="s">
        <v>878</v>
      </c>
      <c r="AA46" s="1" t="s">
        <v>99</v>
      </c>
      <c r="AB46" s="1" t="s">
        <v>1175</v>
      </c>
      <c r="AC46" s="1" t="s">
        <v>1230</v>
      </c>
      <c r="AD46" s="1" t="s">
        <v>1177</v>
      </c>
      <c r="AE46" s="1" t="s">
        <v>1178</v>
      </c>
    </row>
    <row r="47" spans="1:31" ht="148.5" x14ac:dyDescent="0.3">
      <c r="A47" s="1" t="s">
        <v>635</v>
      </c>
      <c r="B47" s="1" t="s">
        <v>879</v>
      </c>
      <c r="C47" s="1" t="s">
        <v>637</v>
      </c>
      <c r="D47" s="1" t="s">
        <v>880</v>
      </c>
      <c r="E47" s="1" t="s">
        <v>881</v>
      </c>
      <c r="F47" s="1" t="s">
        <v>244</v>
      </c>
      <c r="G47" s="1"/>
      <c r="H47" s="1"/>
      <c r="I47" s="1" t="s">
        <v>641</v>
      </c>
      <c r="J47" s="1"/>
      <c r="K47" s="1" t="s">
        <v>158</v>
      </c>
      <c r="L47" s="1"/>
      <c r="M47" s="1"/>
      <c r="N47" s="1" t="s">
        <v>519</v>
      </c>
      <c r="O47" s="1"/>
      <c r="P47" s="1"/>
      <c r="Q47" s="1"/>
      <c r="R47" s="1" t="s">
        <v>642</v>
      </c>
      <c r="S47" s="1"/>
      <c r="T47" s="1"/>
      <c r="U47" s="1"/>
      <c r="V47" s="1"/>
      <c r="W47" s="1"/>
      <c r="X47" s="1" t="s">
        <v>882</v>
      </c>
      <c r="Y47" s="1" t="s">
        <v>644</v>
      </c>
      <c r="Z47" s="1" t="s">
        <v>883</v>
      </c>
      <c r="AA47" s="1" t="s">
        <v>100</v>
      </c>
      <c r="AB47" s="1" t="s">
        <v>1175</v>
      </c>
      <c r="AC47" s="1" t="s">
        <v>1246</v>
      </c>
      <c r="AD47" s="1" t="s">
        <v>1177</v>
      </c>
      <c r="AE47" s="1" t="s">
        <v>1178</v>
      </c>
    </row>
    <row r="48" spans="1:31" ht="247.5" x14ac:dyDescent="0.3">
      <c r="A48" s="1" t="s">
        <v>635</v>
      </c>
      <c r="B48" s="1" t="s">
        <v>884</v>
      </c>
      <c r="C48" s="1" t="s">
        <v>637</v>
      </c>
      <c r="D48" s="1" t="s">
        <v>885</v>
      </c>
      <c r="E48" s="1" t="s">
        <v>755</v>
      </c>
      <c r="F48" s="1" t="s">
        <v>396</v>
      </c>
      <c r="G48" s="1"/>
      <c r="H48" s="1"/>
      <c r="I48" s="1" t="s">
        <v>641</v>
      </c>
      <c r="J48" s="1" t="s">
        <v>439</v>
      </c>
      <c r="K48" s="1" t="s">
        <v>158</v>
      </c>
      <c r="L48" s="1"/>
      <c r="M48" s="1"/>
      <c r="N48" s="1" t="s">
        <v>656</v>
      </c>
      <c r="O48" s="1"/>
      <c r="P48" s="1"/>
      <c r="Q48" s="1"/>
      <c r="R48" s="1" t="s">
        <v>454</v>
      </c>
      <c r="S48" s="1"/>
      <c r="T48" s="1"/>
      <c r="U48" s="1"/>
      <c r="V48" s="1"/>
      <c r="W48" s="1"/>
      <c r="X48" s="1" t="s">
        <v>886</v>
      </c>
      <c r="Y48" s="1" t="s">
        <v>887</v>
      </c>
      <c r="Z48" s="1" t="s">
        <v>888</v>
      </c>
      <c r="AA48" s="1" t="s">
        <v>101</v>
      </c>
      <c r="AB48" s="1" t="s">
        <v>1182</v>
      </c>
      <c r="AC48" s="1" t="s">
        <v>396</v>
      </c>
      <c r="AD48" s="1"/>
      <c r="AE48" s="1" t="s">
        <v>1185</v>
      </c>
    </row>
    <row r="49" spans="1:31" ht="181.5" x14ac:dyDescent="0.3">
      <c r="A49" s="1" t="s">
        <v>635</v>
      </c>
      <c r="B49" s="1" t="s">
        <v>889</v>
      </c>
      <c r="C49" s="1" t="s">
        <v>637</v>
      </c>
      <c r="D49" s="1" t="s">
        <v>890</v>
      </c>
      <c r="E49" s="1" t="s">
        <v>655</v>
      </c>
      <c r="F49" s="1" t="s">
        <v>154</v>
      </c>
      <c r="G49" s="1"/>
      <c r="H49" s="1"/>
      <c r="I49" s="1" t="s">
        <v>641</v>
      </c>
      <c r="J49" s="1" t="s">
        <v>324</v>
      </c>
      <c r="K49" s="1" t="s">
        <v>158</v>
      </c>
      <c r="L49" s="1"/>
      <c r="M49" s="1"/>
      <c r="N49" s="1" t="s">
        <v>656</v>
      </c>
      <c r="O49" s="1"/>
      <c r="P49" s="1"/>
      <c r="Q49" s="1"/>
      <c r="R49" s="1" t="s">
        <v>642</v>
      </c>
      <c r="S49" s="1"/>
      <c r="T49" s="1"/>
      <c r="U49" s="1"/>
      <c r="V49" s="1"/>
      <c r="W49" s="1"/>
      <c r="X49" s="1" t="s">
        <v>797</v>
      </c>
      <c r="Y49" s="1" t="s">
        <v>644</v>
      </c>
      <c r="Z49" s="1" t="s">
        <v>891</v>
      </c>
      <c r="AA49" s="1" t="s">
        <v>102</v>
      </c>
      <c r="AB49" s="1" t="s">
        <v>1247</v>
      </c>
      <c r="AC49" s="1" t="s">
        <v>1183</v>
      </c>
      <c r="AD49" s="1" t="s">
        <v>1177</v>
      </c>
      <c r="AE49" s="1" t="s">
        <v>1202</v>
      </c>
    </row>
    <row r="50" spans="1:31" ht="165" x14ac:dyDescent="0.3">
      <c r="A50" s="1" t="s">
        <v>635</v>
      </c>
      <c r="B50" s="1" t="s">
        <v>892</v>
      </c>
      <c r="C50" s="1" t="s">
        <v>637</v>
      </c>
      <c r="D50" s="1" t="s">
        <v>893</v>
      </c>
      <c r="E50" s="1" t="s">
        <v>894</v>
      </c>
      <c r="F50" s="1"/>
      <c r="G50" s="1"/>
      <c r="H50" s="1" t="s">
        <v>236</v>
      </c>
      <c r="I50" s="1" t="s">
        <v>196</v>
      </c>
      <c r="J50" s="1"/>
      <c r="K50" s="1" t="s">
        <v>158</v>
      </c>
      <c r="L50" s="1"/>
      <c r="M50" s="1"/>
      <c r="N50" s="1" t="s">
        <v>649</v>
      </c>
      <c r="O50" s="1"/>
      <c r="P50" s="1"/>
      <c r="Q50" s="1"/>
      <c r="R50" s="1" t="s">
        <v>671</v>
      </c>
      <c r="S50" s="1"/>
      <c r="T50" s="1"/>
      <c r="U50" s="1"/>
      <c r="V50" s="1"/>
      <c r="W50" s="1"/>
      <c r="X50" s="1" t="s">
        <v>788</v>
      </c>
      <c r="Y50" s="1" t="s">
        <v>895</v>
      </c>
      <c r="Z50" s="1" t="s">
        <v>896</v>
      </c>
      <c r="AA50" s="1" t="s">
        <v>103</v>
      </c>
      <c r="AB50" s="1" t="s">
        <v>1248</v>
      </c>
      <c r="AC50" s="1" t="s">
        <v>236</v>
      </c>
      <c r="AD50" s="1"/>
      <c r="AE50" s="1" t="s">
        <v>1214</v>
      </c>
    </row>
    <row r="51" spans="1:31" ht="148.5" x14ac:dyDescent="0.3">
      <c r="A51" s="1" t="s">
        <v>635</v>
      </c>
      <c r="B51" s="1" t="s">
        <v>897</v>
      </c>
      <c r="C51" s="1" t="s">
        <v>637</v>
      </c>
      <c r="D51" s="1" t="s">
        <v>898</v>
      </c>
      <c r="E51" s="1" t="s">
        <v>899</v>
      </c>
      <c r="F51" s="1"/>
      <c r="G51" s="1" t="s">
        <v>155</v>
      </c>
      <c r="H51" s="1"/>
      <c r="I51" s="1" t="s">
        <v>641</v>
      </c>
      <c r="J51" s="1"/>
      <c r="K51" s="1" t="s">
        <v>158</v>
      </c>
      <c r="L51" s="1"/>
      <c r="M51" s="1"/>
      <c r="N51" s="1" t="s">
        <v>649</v>
      </c>
      <c r="O51" s="1"/>
      <c r="P51" s="1"/>
      <c r="Q51" s="1"/>
      <c r="R51" s="1" t="s">
        <v>671</v>
      </c>
      <c r="S51" s="1"/>
      <c r="T51" s="1"/>
      <c r="U51" s="1"/>
      <c r="V51" s="1"/>
      <c r="W51" s="1"/>
      <c r="X51" s="1" t="s">
        <v>756</v>
      </c>
      <c r="Y51" s="1" t="s">
        <v>900</v>
      </c>
      <c r="Z51" s="1" t="s">
        <v>901</v>
      </c>
      <c r="AA51" s="1" t="s">
        <v>104</v>
      </c>
      <c r="AB51" s="1" t="s">
        <v>1179</v>
      </c>
      <c r="AC51" s="1" t="s">
        <v>1249</v>
      </c>
      <c r="AD51" s="1" t="s">
        <v>1250</v>
      </c>
      <c r="AE51" s="1" t="s">
        <v>1181</v>
      </c>
    </row>
    <row r="52" spans="1:31" ht="148.5" x14ac:dyDescent="0.3">
      <c r="A52" s="1" t="s">
        <v>635</v>
      </c>
      <c r="B52" s="1" t="s">
        <v>902</v>
      </c>
      <c r="C52" s="1" t="s">
        <v>637</v>
      </c>
      <c r="D52" s="1" t="s">
        <v>903</v>
      </c>
      <c r="E52" s="1" t="s">
        <v>676</v>
      </c>
      <c r="F52" s="1"/>
      <c r="G52" s="1"/>
      <c r="H52" s="1"/>
      <c r="I52" s="1" t="s">
        <v>387</v>
      </c>
      <c r="J52" s="1"/>
      <c r="K52" s="1" t="s">
        <v>158</v>
      </c>
      <c r="L52" s="1"/>
      <c r="M52" s="1"/>
      <c r="N52" s="1" t="s">
        <v>656</v>
      </c>
      <c r="O52" s="1"/>
      <c r="P52" s="1"/>
      <c r="Q52" s="1"/>
      <c r="R52" s="1" t="s">
        <v>642</v>
      </c>
      <c r="S52" s="1"/>
      <c r="T52" s="1"/>
      <c r="U52" s="1"/>
      <c r="V52" s="1"/>
      <c r="W52" s="1"/>
      <c r="X52" s="1" t="s">
        <v>760</v>
      </c>
      <c r="Y52" s="1" t="s">
        <v>904</v>
      </c>
      <c r="Z52" s="1" t="s">
        <v>905</v>
      </c>
      <c r="AA52" s="1" t="s">
        <v>105</v>
      </c>
      <c r="AB52" s="1" t="s">
        <v>1251</v>
      </c>
      <c r="AC52" s="1" t="s">
        <v>1203</v>
      </c>
      <c r="AD52" s="1"/>
      <c r="AE52" s="1" t="s">
        <v>1195</v>
      </c>
    </row>
    <row r="53" spans="1:31" ht="165" x14ac:dyDescent="0.3">
      <c r="A53" s="1" t="s">
        <v>635</v>
      </c>
      <c r="B53" s="1" t="s">
        <v>906</v>
      </c>
      <c r="C53" s="1" t="s">
        <v>637</v>
      </c>
      <c r="D53" s="1" t="s">
        <v>907</v>
      </c>
      <c r="E53" s="1" t="s">
        <v>637</v>
      </c>
      <c r="F53" s="1"/>
      <c r="G53" s="1"/>
      <c r="H53" s="1"/>
      <c r="I53" s="1" t="s">
        <v>641</v>
      </c>
      <c r="J53" s="1"/>
      <c r="K53" s="1" t="s">
        <v>158</v>
      </c>
      <c r="L53" s="1"/>
      <c r="M53" s="1"/>
      <c r="N53" s="1" t="s">
        <v>656</v>
      </c>
      <c r="O53" s="1"/>
      <c r="P53" s="1"/>
      <c r="Q53" s="1"/>
      <c r="R53" s="1" t="s">
        <v>671</v>
      </c>
      <c r="S53" s="1"/>
      <c r="T53" s="1"/>
      <c r="U53" s="1"/>
      <c r="V53" s="1"/>
      <c r="W53" s="1"/>
      <c r="X53" s="1" t="s">
        <v>643</v>
      </c>
      <c r="Y53" s="1" t="s">
        <v>908</v>
      </c>
      <c r="Z53" s="1" t="s">
        <v>909</v>
      </c>
      <c r="AA53" s="1" t="s">
        <v>106</v>
      </c>
      <c r="AB53" s="1" t="s">
        <v>1179</v>
      </c>
      <c r="AC53" s="1" t="s">
        <v>1252</v>
      </c>
      <c r="AD53" s="1" t="s">
        <v>1253</v>
      </c>
      <c r="AE53" s="1" t="s">
        <v>1181</v>
      </c>
    </row>
    <row r="54" spans="1:31" ht="181.5" x14ac:dyDescent="0.3">
      <c r="A54" s="1" t="s">
        <v>635</v>
      </c>
      <c r="B54" s="1" t="s">
        <v>910</v>
      </c>
      <c r="C54" s="1" t="s">
        <v>637</v>
      </c>
      <c r="D54" s="1" t="s">
        <v>911</v>
      </c>
      <c r="E54" s="1" t="s">
        <v>912</v>
      </c>
      <c r="F54" s="1" t="s">
        <v>913</v>
      </c>
      <c r="G54" s="1"/>
      <c r="H54" s="1" t="s">
        <v>236</v>
      </c>
      <c r="I54" s="1" t="s">
        <v>171</v>
      </c>
      <c r="J54" s="1" t="s">
        <v>914</v>
      </c>
      <c r="K54" s="1" t="s">
        <v>158</v>
      </c>
      <c r="L54" s="1"/>
      <c r="M54" s="1"/>
      <c r="N54" s="1" t="s">
        <v>567</v>
      </c>
      <c r="O54" s="1"/>
      <c r="P54" s="1"/>
      <c r="Q54" s="1"/>
      <c r="R54" s="1"/>
      <c r="S54" s="1"/>
      <c r="T54" s="1"/>
      <c r="U54" s="1"/>
      <c r="V54" s="1"/>
      <c r="W54" s="1"/>
      <c r="X54" s="1" t="s">
        <v>915</v>
      </c>
      <c r="Y54" s="1" t="s">
        <v>916</v>
      </c>
      <c r="Z54" s="1" t="s">
        <v>917</v>
      </c>
      <c r="AA54" s="1" t="s">
        <v>107</v>
      </c>
      <c r="AB54" s="1" t="s">
        <v>1254</v>
      </c>
      <c r="AC54" s="1" t="s">
        <v>1255</v>
      </c>
      <c r="AD54" s="1" t="s">
        <v>1256</v>
      </c>
      <c r="AE54" s="1" t="s">
        <v>1185</v>
      </c>
    </row>
    <row r="55" spans="1:31" ht="132" x14ac:dyDescent="0.3">
      <c r="A55" s="1" t="s">
        <v>635</v>
      </c>
      <c r="B55" s="1" t="s">
        <v>918</v>
      </c>
      <c r="C55" s="1" t="s">
        <v>637</v>
      </c>
      <c r="D55" s="1" t="s">
        <v>919</v>
      </c>
      <c r="E55" s="1" t="s">
        <v>920</v>
      </c>
      <c r="F55" s="1"/>
      <c r="G55" s="1" t="s">
        <v>155</v>
      </c>
      <c r="H55" s="1"/>
      <c r="I55" s="1" t="s">
        <v>641</v>
      </c>
      <c r="J55" s="1"/>
      <c r="K55" s="1" t="s">
        <v>158</v>
      </c>
      <c r="L55" s="1"/>
      <c r="M55" s="1"/>
      <c r="N55" s="1" t="s">
        <v>567</v>
      </c>
      <c r="O55" s="1"/>
      <c r="P55" s="1"/>
      <c r="Q55" s="1"/>
      <c r="R55" s="1" t="s">
        <v>671</v>
      </c>
      <c r="S55" s="1"/>
      <c r="T55" s="1"/>
      <c r="U55" s="1"/>
      <c r="V55" s="1"/>
      <c r="W55" s="1"/>
      <c r="X55" s="1" t="s">
        <v>921</v>
      </c>
      <c r="Y55" s="1" t="s">
        <v>922</v>
      </c>
      <c r="Z55" s="1" t="s">
        <v>923</v>
      </c>
      <c r="AA55" s="1" t="s">
        <v>108</v>
      </c>
      <c r="AB55" s="1" t="s">
        <v>1234</v>
      </c>
      <c r="AC55" s="1" t="s">
        <v>155</v>
      </c>
      <c r="AD55" s="1"/>
      <c r="AE55" s="1" t="s">
        <v>1211</v>
      </c>
    </row>
    <row r="56" spans="1:31" ht="165" x14ac:dyDescent="0.3">
      <c r="A56" s="1" t="s">
        <v>635</v>
      </c>
      <c r="B56" s="1" t="s">
        <v>924</v>
      </c>
      <c r="C56" s="1" t="s">
        <v>637</v>
      </c>
      <c r="D56" s="1" t="s">
        <v>925</v>
      </c>
      <c r="E56" s="1" t="s">
        <v>926</v>
      </c>
      <c r="F56" s="1" t="s">
        <v>154</v>
      </c>
      <c r="G56" s="1"/>
      <c r="H56" s="1" t="s">
        <v>236</v>
      </c>
      <c r="I56" s="1" t="s">
        <v>196</v>
      </c>
      <c r="J56" s="1" t="s">
        <v>324</v>
      </c>
      <c r="K56" s="1" t="s">
        <v>158</v>
      </c>
      <c r="L56" s="1"/>
      <c r="M56" s="1"/>
      <c r="N56" s="1" t="s">
        <v>656</v>
      </c>
      <c r="O56" s="1"/>
      <c r="P56" s="1"/>
      <c r="Q56" s="1"/>
      <c r="R56" s="1" t="s">
        <v>454</v>
      </c>
      <c r="S56" s="1"/>
      <c r="T56" s="1"/>
      <c r="U56" s="1"/>
      <c r="V56" s="1"/>
      <c r="W56" s="1"/>
      <c r="X56" s="1" t="s">
        <v>829</v>
      </c>
      <c r="Y56" s="1" t="s">
        <v>927</v>
      </c>
      <c r="Z56" s="1" t="s">
        <v>928</v>
      </c>
      <c r="AA56" s="1" t="s">
        <v>109</v>
      </c>
      <c r="AB56" s="1" t="s">
        <v>1186</v>
      </c>
      <c r="AC56" s="1" t="s">
        <v>1257</v>
      </c>
      <c r="AD56" s="1" t="s">
        <v>1258</v>
      </c>
      <c r="AE56" s="1" t="s">
        <v>1185</v>
      </c>
    </row>
    <row r="57" spans="1:31" ht="132" x14ac:dyDescent="0.3">
      <c r="A57" s="1" t="s">
        <v>635</v>
      </c>
      <c r="B57" s="1" t="s">
        <v>929</v>
      </c>
      <c r="C57" s="1" t="s">
        <v>637</v>
      </c>
      <c r="D57" s="1" t="s">
        <v>930</v>
      </c>
      <c r="E57" s="1" t="s">
        <v>894</v>
      </c>
      <c r="F57" s="1"/>
      <c r="G57" s="1"/>
      <c r="H57" s="1" t="s">
        <v>236</v>
      </c>
      <c r="I57" s="1" t="s">
        <v>196</v>
      </c>
      <c r="J57" s="1"/>
      <c r="K57" s="1" t="s">
        <v>158</v>
      </c>
      <c r="L57" s="1"/>
      <c r="M57" s="1"/>
      <c r="N57" s="1" t="s">
        <v>656</v>
      </c>
      <c r="O57" s="1"/>
      <c r="P57" s="1"/>
      <c r="Q57" s="1"/>
      <c r="R57" s="1" t="s">
        <v>454</v>
      </c>
      <c r="S57" s="1"/>
      <c r="T57" s="1"/>
      <c r="U57" s="1"/>
      <c r="V57" s="1"/>
      <c r="W57" s="1"/>
      <c r="X57" s="1" t="s">
        <v>664</v>
      </c>
      <c r="Y57" s="1" t="s">
        <v>931</v>
      </c>
      <c r="Z57" s="1" t="s">
        <v>932</v>
      </c>
      <c r="AA57" s="1" t="s">
        <v>110</v>
      </c>
      <c r="AB57" s="1" t="s">
        <v>1259</v>
      </c>
      <c r="AC57" s="1" t="s">
        <v>236</v>
      </c>
      <c r="AD57" s="1"/>
      <c r="AE57" s="1" t="s">
        <v>1214</v>
      </c>
    </row>
    <row r="58" spans="1:31" ht="132" x14ac:dyDescent="0.3">
      <c r="A58" s="1" t="s">
        <v>635</v>
      </c>
      <c r="B58" s="1" t="s">
        <v>933</v>
      </c>
      <c r="C58" s="1" t="s">
        <v>637</v>
      </c>
      <c r="D58" s="1" t="s">
        <v>934</v>
      </c>
      <c r="E58" s="1" t="s">
        <v>787</v>
      </c>
      <c r="F58" s="1"/>
      <c r="G58" s="1"/>
      <c r="H58" s="1"/>
      <c r="I58" s="1" t="s">
        <v>641</v>
      </c>
      <c r="J58" s="1"/>
      <c r="K58" s="1" t="s">
        <v>158</v>
      </c>
      <c r="L58" s="1"/>
      <c r="M58" s="1"/>
      <c r="N58" s="1" t="s">
        <v>656</v>
      </c>
      <c r="O58" s="1"/>
      <c r="P58" s="1"/>
      <c r="Q58" s="1"/>
      <c r="R58" s="1" t="s">
        <v>671</v>
      </c>
      <c r="S58" s="1"/>
      <c r="T58" s="1"/>
      <c r="U58" s="1"/>
      <c r="V58" s="1"/>
      <c r="W58" s="1"/>
      <c r="X58" s="1" t="s">
        <v>773</v>
      </c>
      <c r="Y58" s="1" t="s">
        <v>644</v>
      </c>
      <c r="Z58" s="1" t="s">
        <v>935</v>
      </c>
      <c r="AA58" s="1" t="s">
        <v>111</v>
      </c>
      <c r="AB58" s="1" t="s">
        <v>1196</v>
      </c>
      <c r="AC58" s="1" t="s">
        <v>1222</v>
      </c>
      <c r="AD58" s="1" t="s">
        <v>1177</v>
      </c>
      <c r="AE58" s="1" t="s">
        <v>1181</v>
      </c>
    </row>
    <row r="59" spans="1:31" ht="165" x14ac:dyDescent="0.3">
      <c r="A59" s="1" t="s">
        <v>635</v>
      </c>
      <c r="B59" s="1" t="s">
        <v>936</v>
      </c>
      <c r="C59" s="1" t="s">
        <v>637</v>
      </c>
      <c r="D59" s="1" t="s">
        <v>937</v>
      </c>
      <c r="E59" s="1" t="s">
        <v>787</v>
      </c>
      <c r="F59" s="1"/>
      <c r="G59" s="1"/>
      <c r="H59" s="1"/>
      <c r="I59" s="1" t="s">
        <v>641</v>
      </c>
      <c r="J59" s="1"/>
      <c r="K59" s="1" t="s">
        <v>158</v>
      </c>
      <c r="L59" s="1"/>
      <c r="M59" s="1"/>
      <c r="N59" s="1" t="s">
        <v>519</v>
      </c>
      <c r="O59" s="1"/>
      <c r="P59" s="1"/>
      <c r="Q59" s="1"/>
      <c r="R59" s="1" t="s">
        <v>642</v>
      </c>
      <c r="S59" s="1"/>
      <c r="T59" s="1"/>
      <c r="U59" s="1"/>
      <c r="V59" s="1"/>
      <c r="W59" s="1"/>
      <c r="X59" s="1" t="s">
        <v>745</v>
      </c>
      <c r="Y59" s="1" t="s">
        <v>644</v>
      </c>
      <c r="Z59" s="1" t="s">
        <v>938</v>
      </c>
      <c r="AA59" s="1" t="s">
        <v>112</v>
      </c>
      <c r="AB59" s="1" t="s">
        <v>1196</v>
      </c>
      <c r="AC59" s="1" t="s">
        <v>1222</v>
      </c>
      <c r="AD59" s="1" t="s">
        <v>1177</v>
      </c>
      <c r="AE59" s="1" t="s">
        <v>1181</v>
      </c>
    </row>
    <row r="60" spans="1:31" ht="181.5" x14ac:dyDescent="0.3">
      <c r="A60" s="1" t="s">
        <v>635</v>
      </c>
      <c r="B60" s="1" t="s">
        <v>939</v>
      </c>
      <c r="C60" s="1" t="s">
        <v>637</v>
      </c>
      <c r="D60" s="1" t="s">
        <v>940</v>
      </c>
      <c r="E60" s="1" t="s">
        <v>941</v>
      </c>
      <c r="F60" s="1"/>
      <c r="G60" s="1"/>
      <c r="H60" s="1" t="s">
        <v>942</v>
      </c>
      <c r="I60" s="1" t="s">
        <v>943</v>
      </c>
      <c r="J60" s="1"/>
      <c r="K60" s="1" t="s">
        <v>158</v>
      </c>
      <c r="L60" s="1"/>
      <c r="M60" s="1"/>
      <c r="N60" s="1" t="s">
        <v>656</v>
      </c>
      <c r="O60" s="1"/>
      <c r="P60" s="1"/>
      <c r="Q60" s="1"/>
      <c r="R60" s="1" t="s">
        <v>290</v>
      </c>
      <c r="S60" s="1"/>
      <c r="T60" s="1"/>
      <c r="U60" s="1"/>
      <c r="V60" s="1"/>
      <c r="W60" s="1"/>
      <c r="X60" s="1" t="s">
        <v>658</v>
      </c>
      <c r="Y60" s="1" t="s">
        <v>944</v>
      </c>
      <c r="Z60" s="1" t="s">
        <v>945</v>
      </c>
      <c r="AA60" s="1" t="s">
        <v>113</v>
      </c>
      <c r="AB60" s="1" t="s">
        <v>1233</v>
      </c>
      <c r="AC60" s="1" t="s">
        <v>256</v>
      </c>
      <c r="AD60" s="1" t="s">
        <v>1260</v>
      </c>
      <c r="AE60" s="1" t="s">
        <v>1178</v>
      </c>
    </row>
    <row r="61" spans="1:31" ht="148.5" x14ac:dyDescent="0.3">
      <c r="A61" s="1" t="s">
        <v>635</v>
      </c>
      <c r="B61" s="1" t="s">
        <v>946</v>
      </c>
      <c r="C61" s="1" t="s">
        <v>637</v>
      </c>
      <c r="D61" s="1" t="s">
        <v>947</v>
      </c>
      <c r="E61" s="1" t="s">
        <v>881</v>
      </c>
      <c r="F61" s="1" t="s">
        <v>244</v>
      </c>
      <c r="G61" s="1"/>
      <c r="H61" s="1"/>
      <c r="I61" s="1" t="s">
        <v>641</v>
      </c>
      <c r="J61" s="1"/>
      <c r="K61" s="1" t="s">
        <v>158</v>
      </c>
      <c r="L61" s="1"/>
      <c r="M61" s="1"/>
      <c r="N61" s="1" t="s">
        <v>656</v>
      </c>
      <c r="O61" s="1"/>
      <c r="P61" s="1"/>
      <c r="Q61" s="1"/>
      <c r="R61" s="1" t="s">
        <v>657</v>
      </c>
      <c r="S61" s="1"/>
      <c r="T61" s="1"/>
      <c r="U61" s="1"/>
      <c r="V61" s="1"/>
      <c r="W61" s="1"/>
      <c r="X61" s="1" t="s">
        <v>695</v>
      </c>
      <c r="Y61" s="1" t="s">
        <v>948</v>
      </c>
      <c r="Z61" s="1" t="s">
        <v>949</v>
      </c>
      <c r="AA61" s="1" t="s">
        <v>114</v>
      </c>
      <c r="AB61" s="1" t="s">
        <v>1200</v>
      </c>
      <c r="AC61" s="1" t="s">
        <v>1246</v>
      </c>
      <c r="AD61" s="1" t="s">
        <v>1261</v>
      </c>
      <c r="AE61" s="1" t="s">
        <v>1202</v>
      </c>
    </row>
    <row r="62" spans="1:31" ht="148.5" x14ac:dyDescent="0.3">
      <c r="A62" s="1" t="s">
        <v>635</v>
      </c>
      <c r="B62" s="1" t="s">
        <v>950</v>
      </c>
      <c r="C62" s="1" t="s">
        <v>637</v>
      </c>
      <c r="D62" s="1" t="s">
        <v>951</v>
      </c>
      <c r="E62" s="1" t="s">
        <v>952</v>
      </c>
      <c r="F62" s="1"/>
      <c r="G62" s="1" t="s">
        <v>256</v>
      </c>
      <c r="H62" s="1" t="s">
        <v>256</v>
      </c>
      <c r="I62" s="1" t="s">
        <v>257</v>
      </c>
      <c r="J62" s="1"/>
      <c r="K62" s="1" t="s">
        <v>158</v>
      </c>
      <c r="L62" s="1"/>
      <c r="M62" s="1"/>
      <c r="N62" s="1" t="s">
        <v>649</v>
      </c>
      <c r="O62" s="1"/>
      <c r="P62" s="1"/>
      <c r="Q62" s="1"/>
      <c r="R62" s="1" t="s">
        <v>642</v>
      </c>
      <c r="S62" s="1"/>
      <c r="T62" s="1"/>
      <c r="U62" s="1"/>
      <c r="V62" s="1"/>
      <c r="W62" s="1"/>
      <c r="X62" s="1" t="s">
        <v>700</v>
      </c>
      <c r="Y62" s="1" t="s">
        <v>953</v>
      </c>
      <c r="Z62" s="1" t="s">
        <v>954</v>
      </c>
      <c r="AA62" s="1" t="s">
        <v>115</v>
      </c>
      <c r="AB62" s="1" t="s">
        <v>1233</v>
      </c>
      <c r="AC62" s="1" t="s">
        <v>256</v>
      </c>
      <c r="AD62" s="1"/>
      <c r="AE62" s="1" t="s">
        <v>1178</v>
      </c>
    </row>
    <row r="63" spans="1:31" ht="181.5" x14ac:dyDescent="0.3">
      <c r="A63" s="1" t="s">
        <v>635</v>
      </c>
      <c r="B63" s="1" t="s">
        <v>955</v>
      </c>
      <c r="C63" s="1" t="s">
        <v>637</v>
      </c>
      <c r="D63" s="1" t="s">
        <v>956</v>
      </c>
      <c r="E63" s="1" t="s">
        <v>957</v>
      </c>
      <c r="F63" s="1"/>
      <c r="G63" s="1" t="s">
        <v>256</v>
      </c>
      <c r="H63" s="1" t="s">
        <v>958</v>
      </c>
      <c r="I63" s="1" t="s">
        <v>257</v>
      </c>
      <c r="J63" s="1"/>
      <c r="K63" s="1" t="s">
        <v>158</v>
      </c>
      <c r="L63" s="1"/>
      <c r="M63" s="1"/>
      <c r="N63" s="1" t="s">
        <v>519</v>
      </c>
      <c r="O63" s="1"/>
      <c r="P63" s="1"/>
      <c r="Q63" s="1"/>
      <c r="R63" s="1" t="s">
        <v>671</v>
      </c>
      <c r="S63" s="1"/>
      <c r="T63" s="1"/>
      <c r="U63" s="1"/>
      <c r="V63" s="1"/>
      <c r="W63" s="1"/>
      <c r="X63" s="1" t="s">
        <v>690</v>
      </c>
      <c r="Y63" s="1" t="s">
        <v>953</v>
      </c>
      <c r="Z63" s="1" t="s">
        <v>959</v>
      </c>
      <c r="AA63" s="1" t="s">
        <v>116</v>
      </c>
      <c r="AB63" s="1" t="s">
        <v>1234</v>
      </c>
      <c r="AC63" s="1" t="s">
        <v>1262</v>
      </c>
      <c r="AD63" s="1"/>
      <c r="AE63" s="1" t="s">
        <v>1211</v>
      </c>
    </row>
    <row r="64" spans="1:31" ht="181.5" x14ac:dyDescent="0.3">
      <c r="A64" s="1" t="s">
        <v>635</v>
      </c>
      <c r="B64" s="1" t="s">
        <v>960</v>
      </c>
      <c r="C64" s="1" t="s">
        <v>637</v>
      </c>
      <c r="D64" s="1" t="s">
        <v>961</v>
      </c>
      <c r="E64" s="1" t="s">
        <v>962</v>
      </c>
      <c r="F64" s="1" t="s">
        <v>963</v>
      </c>
      <c r="G64" s="1"/>
      <c r="H64" s="1"/>
      <c r="I64" s="1" t="s">
        <v>641</v>
      </c>
      <c r="J64" s="1"/>
      <c r="K64" s="1" t="s">
        <v>158</v>
      </c>
      <c r="L64" s="1"/>
      <c r="M64" s="1"/>
      <c r="N64" s="1" t="s">
        <v>519</v>
      </c>
      <c r="O64" s="1"/>
      <c r="P64" s="1"/>
      <c r="Q64" s="1"/>
      <c r="R64" s="1" t="s">
        <v>671</v>
      </c>
      <c r="S64" s="1"/>
      <c r="T64" s="1"/>
      <c r="U64" s="1"/>
      <c r="V64" s="1"/>
      <c r="W64" s="1"/>
      <c r="X64" s="1" t="s">
        <v>672</v>
      </c>
      <c r="Y64" s="1" t="s">
        <v>644</v>
      </c>
      <c r="Z64" s="1" t="s">
        <v>964</v>
      </c>
      <c r="AA64" s="1" t="s">
        <v>117</v>
      </c>
      <c r="AB64" s="1" t="s">
        <v>1189</v>
      </c>
      <c r="AC64" s="1" t="s">
        <v>1263</v>
      </c>
      <c r="AD64" s="1" t="s">
        <v>1177</v>
      </c>
      <c r="AE64" s="1" t="s">
        <v>1191</v>
      </c>
    </row>
    <row r="65" spans="1:31" ht="214.5" x14ac:dyDescent="0.3">
      <c r="A65" s="1" t="s">
        <v>635</v>
      </c>
      <c r="B65" s="1" t="s">
        <v>965</v>
      </c>
      <c r="C65" s="1" t="s">
        <v>637</v>
      </c>
      <c r="D65" s="1" t="s">
        <v>966</v>
      </c>
      <c r="E65" s="1" t="s">
        <v>967</v>
      </c>
      <c r="F65" s="1"/>
      <c r="G65" s="1" t="s">
        <v>155</v>
      </c>
      <c r="H65" s="1" t="s">
        <v>236</v>
      </c>
      <c r="I65" s="1" t="s">
        <v>196</v>
      </c>
      <c r="J65" s="1"/>
      <c r="K65" s="1" t="s">
        <v>158</v>
      </c>
      <c r="L65" s="1"/>
      <c r="M65" s="1"/>
      <c r="N65" s="1" t="s">
        <v>656</v>
      </c>
      <c r="O65" s="1"/>
      <c r="P65" s="1"/>
      <c r="Q65" s="1"/>
      <c r="R65" s="1" t="s">
        <v>290</v>
      </c>
      <c r="S65" s="1"/>
      <c r="T65" s="1"/>
      <c r="U65" s="1"/>
      <c r="V65" s="1"/>
      <c r="W65" s="1"/>
      <c r="X65" s="1" t="s">
        <v>843</v>
      </c>
      <c r="Y65" s="1" t="s">
        <v>968</v>
      </c>
      <c r="Z65" s="1" t="s">
        <v>969</v>
      </c>
      <c r="AA65" s="1" t="s">
        <v>118</v>
      </c>
      <c r="AB65" s="1" t="s">
        <v>1248</v>
      </c>
      <c r="AC65" s="1" t="s">
        <v>1264</v>
      </c>
      <c r="AD65" s="1" t="s">
        <v>1265</v>
      </c>
      <c r="AE65" s="1" t="s">
        <v>1214</v>
      </c>
    </row>
    <row r="66" spans="1:31" ht="198" x14ac:dyDescent="0.3">
      <c r="A66" s="1" t="s">
        <v>635</v>
      </c>
      <c r="B66" s="1" t="s">
        <v>970</v>
      </c>
      <c r="C66" s="1" t="s">
        <v>637</v>
      </c>
      <c r="D66" s="1" t="s">
        <v>971</v>
      </c>
      <c r="E66" s="1" t="s">
        <v>972</v>
      </c>
      <c r="F66" s="1"/>
      <c r="G66" s="1" t="s">
        <v>155</v>
      </c>
      <c r="H66" s="1"/>
      <c r="I66" s="1" t="s">
        <v>641</v>
      </c>
      <c r="J66" s="1"/>
      <c r="K66" s="1" t="s">
        <v>158</v>
      </c>
      <c r="L66" s="1"/>
      <c r="M66" s="1"/>
      <c r="N66" s="1" t="s">
        <v>649</v>
      </c>
      <c r="O66" s="1"/>
      <c r="P66" s="1"/>
      <c r="Q66" s="1"/>
      <c r="R66" s="1" t="s">
        <v>454</v>
      </c>
      <c r="S66" s="1"/>
      <c r="T66" s="1"/>
      <c r="U66" s="1"/>
      <c r="V66" s="1"/>
      <c r="W66" s="1"/>
      <c r="X66" s="1" t="s">
        <v>973</v>
      </c>
      <c r="Y66" s="1" t="s">
        <v>974</v>
      </c>
      <c r="Z66" s="1" t="s">
        <v>975</v>
      </c>
      <c r="AA66" s="1" t="s">
        <v>119</v>
      </c>
      <c r="AB66" s="1" t="s">
        <v>1266</v>
      </c>
      <c r="AC66" s="1" t="s">
        <v>155</v>
      </c>
      <c r="AD66" s="1" t="s">
        <v>1267</v>
      </c>
      <c r="AE66" s="1" t="s">
        <v>1211</v>
      </c>
    </row>
    <row r="67" spans="1:31" ht="363" x14ac:dyDescent="0.3">
      <c r="A67" s="1" t="s">
        <v>635</v>
      </c>
      <c r="B67" s="1" t="s">
        <v>976</v>
      </c>
      <c r="C67" s="1" t="s">
        <v>637</v>
      </c>
      <c r="D67" s="1" t="s">
        <v>977</v>
      </c>
      <c r="E67" s="1" t="s">
        <v>637</v>
      </c>
      <c r="F67" s="1"/>
      <c r="G67" s="1"/>
      <c r="H67" s="1"/>
      <c r="I67" s="1" t="s">
        <v>641</v>
      </c>
      <c r="J67" s="1"/>
      <c r="K67" s="1" t="s">
        <v>158</v>
      </c>
      <c r="L67" s="1"/>
      <c r="M67" s="1"/>
      <c r="N67" s="1" t="s">
        <v>649</v>
      </c>
      <c r="O67" s="1"/>
      <c r="P67" s="1"/>
      <c r="Q67" s="1"/>
      <c r="R67" s="1" t="s">
        <v>671</v>
      </c>
      <c r="S67" s="1"/>
      <c r="T67" s="1"/>
      <c r="U67" s="1"/>
      <c r="V67" s="1"/>
      <c r="W67" s="1"/>
      <c r="X67" s="1" t="s">
        <v>978</v>
      </c>
      <c r="Y67" s="1" t="s">
        <v>979</v>
      </c>
      <c r="Z67" s="1" t="s">
        <v>980</v>
      </c>
      <c r="AA67" s="1" t="s">
        <v>120</v>
      </c>
      <c r="AB67" s="1" t="s">
        <v>1268</v>
      </c>
      <c r="AC67" s="1" t="s">
        <v>1269</v>
      </c>
      <c r="AD67" s="1" t="s">
        <v>1270</v>
      </c>
      <c r="AE67" s="1" t="s">
        <v>1202</v>
      </c>
    </row>
    <row r="68" spans="1:31" ht="264" x14ac:dyDescent="0.3">
      <c r="A68" s="1" t="s">
        <v>635</v>
      </c>
      <c r="B68" s="1" t="s">
        <v>981</v>
      </c>
      <c r="C68" s="1" t="s">
        <v>637</v>
      </c>
      <c r="D68" s="1" t="s">
        <v>982</v>
      </c>
      <c r="E68" s="1" t="s">
        <v>972</v>
      </c>
      <c r="F68" s="1"/>
      <c r="G68" s="1" t="s">
        <v>155</v>
      </c>
      <c r="H68" s="1"/>
      <c r="I68" s="1" t="s">
        <v>641</v>
      </c>
      <c r="J68" s="1"/>
      <c r="K68" s="1" t="s">
        <v>158</v>
      </c>
      <c r="L68" s="1"/>
      <c r="M68" s="1"/>
      <c r="N68" s="1" t="s">
        <v>649</v>
      </c>
      <c r="O68" s="1"/>
      <c r="P68" s="1"/>
      <c r="Q68" s="1"/>
      <c r="R68" s="1" t="s">
        <v>454</v>
      </c>
      <c r="S68" s="1"/>
      <c r="T68" s="1"/>
      <c r="U68" s="1"/>
      <c r="V68" s="1"/>
      <c r="W68" s="1"/>
      <c r="X68" s="1" t="s">
        <v>983</v>
      </c>
      <c r="Y68" s="1" t="s">
        <v>984</v>
      </c>
      <c r="Z68" s="1" t="s">
        <v>985</v>
      </c>
      <c r="AA68" s="1" t="s">
        <v>121</v>
      </c>
      <c r="AB68" s="1" t="s">
        <v>1233</v>
      </c>
      <c r="AC68" s="1" t="s">
        <v>255</v>
      </c>
      <c r="AD68" s="1" t="s">
        <v>1271</v>
      </c>
      <c r="AE68" s="1" t="s">
        <v>1178</v>
      </c>
    </row>
  </sheetData>
  <phoneticPr fontId="7"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
  <sheetViews>
    <sheetView workbookViewId="0"/>
  </sheetViews>
  <sheetFormatPr defaultRowHeight="16.5" x14ac:dyDescent="0.3"/>
  <cols>
    <col min="1" max="4" width="28" customWidth="1"/>
  </cols>
  <sheetData>
    <row r="1" spans="1:4" x14ac:dyDescent="0.3">
      <c r="A1" s="8" t="s">
        <v>1272</v>
      </c>
      <c r="B1" s="8" t="s">
        <v>1273</v>
      </c>
      <c r="C1" s="8" t="s">
        <v>1274</v>
      </c>
      <c r="D1" s="8" t="s">
        <v>1275</v>
      </c>
    </row>
    <row r="2" spans="1:4" x14ac:dyDescent="0.3">
      <c r="A2" s="1" t="s">
        <v>151</v>
      </c>
      <c r="B2" s="1" t="s">
        <v>1276</v>
      </c>
      <c r="C2" s="1">
        <v>55</v>
      </c>
      <c r="D2" s="1" t="s">
        <v>1277</v>
      </c>
    </row>
    <row r="3" spans="1:4" x14ac:dyDescent="0.3">
      <c r="A3" s="1" t="s">
        <v>637</v>
      </c>
      <c r="B3" s="1" t="s">
        <v>1278</v>
      </c>
      <c r="C3" s="1">
        <v>67</v>
      </c>
      <c r="D3" s="1" t="s">
        <v>1279</v>
      </c>
    </row>
    <row r="4" spans="1:4" x14ac:dyDescent="0.3">
      <c r="A4" s="1"/>
      <c r="B4" s="1"/>
      <c r="C4" s="1"/>
      <c r="D4" s="1"/>
    </row>
    <row r="5" spans="1:4" x14ac:dyDescent="0.3">
      <c r="A5" s="1" t="s">
        <v>1280</v>
      </c>
      <c r="B5" s="1"/>
      <c r="C5" s="1"/>
      <c r="D5" s="1"/>
    </row>
    <row r="6" spans="1:4" x14ac:dyDescent="0.3">
      <c r="A6" s="1" t="s">
        <v>1009</v>
      </c>
      <c r="B6" s="1" t="s">
        <v>1061</v>
      </c>
      <c r="C6" s="1">
        <v>7</v>
      </c>
      <c r="D6" s="1"/>
    </row>
    <row r="7" spans="1:4" x14ac:dyDescent="0.3">
      <c r="A7" s="1" t="s">
        <v>1009</v>
      </c>
      <c r="B7" s="1" t="s">
        <v>1015</v>
      </c>
      <c r="C7" s="1">
        <v>6</v>
      </c>
      <c r="D7" s="1"/>
    </row>
    <row r="8" spans="1:4" x14ac:dyDescent="0.3">
      <c r="A8" s="1" t="s">
        <v>1009</v>
      </c>
      <c r="B8" s="1" t="s">
        <v>1142</v>
      </c>
      <c r="C8" s="1">
        <v>6</v>
      </c>
      <c r="D8" s="1"/>
    </row>
    <row r="9" spans="1:4" x14ac:dyDescent="0.3">
      <c r="A9" s="1" t="s">
        <v>1009</v>
      </c>
      <c r="B9" s="1" t="s">
        <v>1037</v>
      </c>
      <c r="C9" s="1">
        <v>4</v>
      </c>
      <c r="D9" s="1"/>
    </row>
    <row r="10" spans="1:4" x14ac:dyDescent="0.3">
      <c r="A10" s="1" t="s">
        <v>1009</v>
      </c>
      <c r="B10" s="1" t="s">
        <v>1042</v>
      </c>
      <c r="C10" s="1">
        <v>4</v>
      </c>
      <c r="D10" s="1"/>
    </row>
    <row r="11" spans="1:4" x14ac:dyDescent="0.3">
      <c r="A11" s="1" t="s">
        <v>1009</v>
      </c>
      <c r="B11" s="1" t="s">
        <v>1050</v>
      </c>
      <c r="C11" s="1">
        <v>4</v>
      </c>
      <c r="D11" s="1"/>
    </row>
    <row r="12" spans="1:4" x14ac:dyDescent="0.3">
      <c r="A12" s="1" t="s">
        <v>1009</v>
      </c>
      <c r="B12" s="1" t="s">
        <v>1064</v>
      </c>
      <c r="C12" s="1">
        <v>3</v>
      </c>
      <c r="D12" s="1"/>
    </row>
    <row r="13" spans="1:4" x14ac:dyDescent="0.3">
      <c r="A13" s="1" t="s">
        <v>1009</v>
      </c>
      <c r="B13" s="1" t="s">
        <v>1081</v>
      </c>
      <c r="C13" s="1">
        <v>3</v>
      </c>
      <c r="D13" s="1"/>
    </row>
    <row r="14" spans="1:4" x14ac:dyDescent="0.3">
      <c r="A14" s="1" t="s">
        <v>1009</v>
      </c>
      <c r="B14" s="1" t="s">
        <v>1130</v>
      </c>
      <c r="C14" s="1">
        <v>3</v>
      </c>
      <c r="D14" s="1"/>
    </row>
    <row r="15" spans="1:4" x14ac:dyDescent="0.3">
      <c r="A15" s="1" t="s">
        <v>1009</v>
      </c>
      <c r="B15" s="1" t="s">
        <v>1021</v>
      </c>
      <c r="C15" s="1">
        <v>2</v>
      </c>
      <c r="D15" s="1"/>
    </row>
    <row r="16" spans="1:4" x14ac:dyDescent="0.3">
      <c r="A16" s="1" t="s">
        <v>1009</v>
      </c>
      <c r="B16" s="1" t="s">
        <v>1027</v>
      </c>
      <c r="C16" s="1">
        <v>2</v>
      </c>
      <c r="D16" s="1"/>
    </row>
    <row r="17" spans="1:4" x14ac:dyDescent="0.3">
      <c r="A17" s="1" t="s">
        <v>1009</v>
      </c>
      <c r="B17" s="1" t="s">
        <v>1055</v>
      </c>
      <c r="C17" s="1">
        <v>2</v>
      </c>
      <c r="D17" s="1"/>
    </row>
    <row r="18" spans="1:4" x14ac:dyDescent="0.3">
      <c r="A18" s="1"/>
      <c r="B18" s="1"/>
      <c r="C18" s="1"/>
      <c r="D18" s="1"/>
    </row>
    <row r="19" spans="1:4" x14ac:dyDescent="0.3">
      <c r="A19" s="1" t="s">
        <v>1281</v>
      </c>
      <c r="B19" s="1"/>
      <c r="C19" s="1"/>
      <c r="D19" s="1"/>
    </row>
    <row r="20" spans="1:4" x14ac:dyDescent="0.3">
      <c r="A20" s="1" t="s">
        <v>130</v>
      </c>
      <c r="B20" s="1" t="s">
        <v>1028</v>
      </c>
      <c r="C20" s="1">
        <v>41</v>
      </c>
      <c r="D20" s="1"/>
    </row>
    <row r="21" spans="1:4" x14ac:dyDescent="0.3">
      <c r="A21" s="1" t="s">
        <v>130</v>
      </c>
      <c r="B21" s="1" t="s">
        <v>1282</v>
      </c>
      <c r="C21" s="1">
        <v>17</v>
      </c>
      <c r="D21" s="1"/>
    </row>
    <row r="22" spans="1:4" x14ac:dyDescent="0.3">
      <c r="A22" s="1" t="s">
        <v>130</v>
      </c>
      <c r="B22" s="1" t="s">
        <v>1283</v>
      </c>
      <c r="C22" s="1">
        <v>11</v>
      </c>
      <c r="D22" s="1"/>
    </row>
    <row r="23" spans="1:4" x14ac:dyDescent="0.3">
      <c r="A23" s="1" t="s">
        <v>130</v>
      </c>
      <c r="B23" s="1" t="s">
        <v>1284</v>
      </c>
      <c r="C23" s="1">
        <v>8</v>
      </c>
      <c r="D23" s="1"/>
    </row>
    <row r="24" spans="1:4" x14ac:dyDescent="0.3">
      <c r="A24" s="1" t="s">
        <v>130</v>
      </c>
      <c r="B24" s="1" t="s">
        <v>1062</v>
      </c>
      <c r="C24" s="1">
        <v>8</v>
      </c>
      <c r="D24" s="1"/>
    </row>
    <row r="25" spans="1:4" x14ac:dyDescent="0.3">
      <c r="A25" s="1" t="s">
        <v>130</v>
      </c>
      <c r="B25" s="1" t="s">
        <v>1170</v>
      </c>
      <c r="C25" s="1">
        <v>4</v>
      </c>
      <c r="D25" s="1"/>
    </row>
    <row r="26" spans="1:4" x14ac:dyDescent="0.3">
      <c r="A26" s="1" t="s">
        <v>130</v>
      </c>
      <c r="B26" s="1" t="s">
        <v>1285</v>
      </c>
      <c r="C26" s="1">
        <v>3</v>
      </c>
      <c r="D26" s="1"/>
    </row>
    <row r="27" spans="1:4" x14ac:dyDescent="0.3">
      <c r="A27" s="1" t="s">
        <v>130</v>
      </c>
      <c r="B27" s="1" t="s">
        <v>1286</v>
      </c>
      <c r="C27" s="1">
        <v>2</v>
      </c>
      <c r="D27" s="1"/>
    </row>
    <row r="28" spans="1:4" x14ac:dyDescent="0.3">
      <c r="A28" s="1"/>
      <c r="B28" s="1"/>
      <c r="C28" s="1"/>
      <c r="D28" s="1"/>
    </row>
    <row r="29" spans="1:4" x14ac:dyDescent="0.3">
      <c r="A29" s="1" t="s">
        <v>1287</v>
      </c>
      <c r="B29" s="1"/>
      <c r="C29" s="1"/>
      <c r="D29" s="1"/>
    </row>
    <row r="30" spans="1:4" x14ac:dyDescent="0.3">
      <c r="A30" s="1" t="s">
        <v>1171</v>
      </c>
      <c r="B30" s="1" t="s">
        <v>1288</v>
      </c>
      <c r="C30" s="1">
        <v>66</v>
      </c>
      <c r="D30" s="1"/>
    </row>
    <row r="31" spans="1:4" x14ac:dyDescent="0.3">
      <c r="A31" s="1" t="s">
        <v>1171</v>
      </c>
      <c r="B31" s="1" t="s">
        <v>133</v>
      </c>
      <c r="C31" s="1">
        <v>66</v>
      </c>
      <c r="D31" s="1"/>
    </row>
    <row r="32" spans="1:4" x14ac:dyDescent="0.3">
      <c r="A32" s="1" t="s">
        <v>1171</v>
      </c>
      <c r="B32" s="1" t="s">
        <v>1289</v>
      </c>
      <c r="C32" s="1">
        <v>30</v>
      </c>
      <c r="D32" s="1"/>
    </row>
    <row r="33" spans="1:4" x14ac:dyDescent="0.3">
      <c r="A33" s="1" t="s">
        <v>1171</v>
      </c>
      <c r="B33" s="1" t="s">
        <v>1290</v>
      </c>
      <c r="C33" s="1">
        <v>30</v>
      </c>
      <c r="D33" s="1"/>
    </row>
    <row r="34" spans="1:4" x14ac:dyDescent="0.3">
      <c r="A34" s="1" t="s">
        <v>1171</v>
      </c>
      <c r="B34" s="1" t="s">
        <v>1291</v>
      </c>
      <c r="C34" s="1">
        <v>25</v>
      </c>
      <c r="D34" s="1"/>
    </row>
    <row r="35" spans="1:4" x14ac:dyDescent="0.3">
      <c r="A35" s="1" t="s">
        <v>1171</v>
      </c>
      <c r="B35" s="1" t="s">
        <v>1292</v>
      </c>
      <c r="C35" s="1">
        <v>12</v>
      </c>
      <c r="D35" s="1"/>
    </row>
    <row r="36" spans="1:4" x14ac:dyDescent="0.3">
      <c r="A36" s="1" t="s">
        <v>1171</v>
      </c>
      <c r="B36" s="1" t="s">
        <v>1293</v>
      </c>
      <c r="C36" s="1">
        <v>11</v>
      </c>
      <c r="D36" s="1"/>
    </row>
    <row r="37" spans="1:4" x14ac:dyDescent="0.3">
      <c r="A37" s="1" t="s">
        <v>1171</v>
      </c>
      <c r="B37" s="1" t="s">
        <v>1203</v>
      </c>
      <c r="C37" s="1">
        <v>11</v>
      </c>
      <c r="D37" s="1"/>
    </row>
    <row r="38" spans="1:4" x14ac:dyDescent="0.3">
      <c r="A38" s="1" t="s">
        <v>1171</v>
      </c>
      <c r="B38" s="1" t="s">
        <v>1294</v>
      </c>
      <c r="C38" s="1">
        <v>11</v>
      </c>
      <c r="D38" s="1"/>
    </row>
    <row r="39" spans="1:4" x14ac:dyDescent="0.3">
      <c r="A39" s="1" t="s">
        <v>1171</v>
      </c>
      <c r="B39" s="1" t="s">
        <v>1295</v>
      </c>
      <c r="C39" s="1">
        <v>11</v>
      </c>
      <c r="D39" s="1"/>
    </row>
    <row r="40" spans="1:4" x14ac:dyDescent="0.3">
      <c r="A40" s="1" t="s">
        <v>1171</v>
      </c>
      <c r="B40" s="1" t="s">
        <v>1296</v>
      </c>
      <c r="C40" s="1">
        <v>11</v>
      </c>
      <c r="D40" s="1"/>
    </row>
    <row r="41" spans="1:4" x14ac:dyDescent="0.3">
      <c r="A41" s="1" t="s">
        <v>1171</v>
      </c>
      <c r="B41" s="1" t="s">
        <v>1297</v>
      </c>
      <c r="C41" s="1">
        <v>5</v>
      </c>
      <c r="D41" s="1"/>
    </row>
    <row r="42" spans="1:4" x14ac:dyDescent="0.3">
      <c r="A42" s="1" t="s">
        <v>1171</v>
      </c>
      <c r="B42" s="1" t="s">
        <v>1298</v>
      </c>
      <c r="C42" s="1">
        <v>5</v>
      </c>
      <c r="D42" s="1"/>
    </row>
    <row r="43" spans="1:4" x14ac:dyDescent="0.3">
      <c r="A43" s="1" t="s">
        <v>1171</v>
      </c>
      <c r="B43" s="1" t="s">
        <v>196</v>
      </c>
      <c r="C43" s="1">
        <v>5</v>
      </c>
      <c r="D43" s="1"/>
    </row>
    <row r="44" spans="1:4" x14ac:dyDescent="0.3">
      <c r="A44" s="1" t="s">
        <v>1171</v>
      </c>
      <c r="B44" s="1" t="s">
        <v>1299</v>
      </c>
      <c r="C44" s="1">
        <v>5</v>
      </c>
      <c r="D44" s="1"/>
    </row>
    <row r="45" spans="1:4" x14ac:dyDescent="0.3">
      <c r="A45" s="1"/>
      <c r="B45" s="1"/>
      <c r="C45" s="1"/>
      <c r="D45" s="1"/>
    </row>
    <row r="46" spans="1:4" x14ac:dyDescent="0.3">
      <c r="A46" s="1"/>
      <c r="B46" s="1"/>
      <c r="C46" s="1"/>
      <c r="D46" s="1"/>
    </row>
    <row r="47" spans="1:4" x14ac:dyDescent="0.3">
      <c r="A47" s="1"/>
      <c r="B47" s="1"/>
      <c r="C47" s="1"/>
      <c r="D47" s="1"/>
    </row>
    <row r="48" spans="1:4" x14ac:dyDescent="0.3">
      <c r="A48" s="1"/>
      <c r="B48" s="1"/>
      <c r="C48" s="1"/>
      <c r="D48" s="1"/>
    </row>
    <row r="49" spans="1:4" x14ac:dyDescent="0.3">
      <c r="A49" s="1"/>
      <c r="B49" s="1"/>
      <c r="C49" s="1"/>
      <c r="D49" s="1"/>
    </row>
    <row r="50" spans="1:4" x14ac:dyDescent="0.3">
      <c r="A50" s="1"/>
      <c r="B50" s="1"/>
      <c r="C50" s="1"/>
      <c r="D50" s="1"/>
    </row>
    <row r="51" spans="1:4" x14ac:dyDescent="0.3">
      <c r="A51" s="1"/>
      <c r="B51" s="1"/>
      <c r="C51" s="1"/>
      <c r="D51" s="1"/>
    </row>
    <row r="52" spans="1:4" x14ac:dyDescent="0.3">
      <c r="A52" s="1"/>
      <c r="B52" s="1"/>
      <c r="C52" s="1"/>
      <c r="D52" s="1"/>
    </row>
    <row r="53" spans="1:4" x14ac:dyDescent="0.3">
      <c r="A53" s="1"/>
      <c r="B53" s="1"/>
      <c r="C53" s="1"/>
      <c r="D53" s="1"/>
    </row>
    <row r="54" spans="1:4" x14ac:dyDescent="0.3">
      <c r="A54" s="1"/>
      <c r="B54" s="1"/>
      <c r="C54" s="1"/>
      <c r="D54" s="1"/>
    </row>
    <row r="55" spans="1:4" x14ac:dyDescent="0.3">
      <c r="A55" s="1"/>
      <c r="B55" s="1"/>
      <c r="C55" s="1"/>
      <c r="D55" s="1"/>
    </row>
    <row r="56" spans="1:4" x14ac:dyDescent="0.3">
      <c r="A56" s="1"/>
      <c r="B56" s="1"/>
      <c r="C56" s="1"/>
      <c r="D56" s="1"/>
    </row>
    <row r="57" spans="1:4" x14ac:dyDescent="0.3">
      <c r="A57" s="1"/>
      <c r="B57" s="1"/>
      <c r="C57" s="1"/>
      <c r="D57" s="1"/>
    </row>
    <row r="58" spans="1:4" x14ac:dyDescent="0.3">
      <c r="A58" s="1"/>
      <c r="B58" s="1"/>
      <c r="C58" s="1"/>
      <c r="D58" s="1"/>
    </row>
    <row r="59" spans="1:4" x14ac:dyDescent="0.3">
      <c r="A59" s="1"/>
      <c r="B59" s="1"/>
      <c r="C59" s="1"/>
      <c r="D59" s="1"/>
    </row>
    <row r="60" spans="1:4" x14ac:dyDescent="0.3">
      <c r="A60" s="1"/>
      <c r="B60" s="1"/>
      <c r="C60" s="1"/>
      <c r="D60" s="1"/>
    </row>
    <row r="61" spans="1:4" x14ac:dyDescent="0.3">
      <c r="A61" s="1"/>
      <c r="B61" s="1"/>
      <c r="C61" s="1"/>
      <c r="D61" s="1"/>
    </row>
    <row r="62" spans="1:4" x14ac:dyDescent="0.3">
      <c r="A62" s="1"/>
      <c r="B62" s="1"/>
      <c r="C62" s="1"/>
      <c r="D62" s="1"/>
    </row>
    <row r="63" spans="1:4" x14ac:dyDescent="0.3">
      <c r="A63" s="1"/>
      <c r="B63" s="1"/>
      <c r="C63" s="1"/>
      <c r="D63" s="1"/>
    </row>
    <row r="64" spans="1:4" x14ac:dyDescent="0.3">
      <c r="A64" s="1"/>
      <c r="B64" s="1"/>
      <c r="C64" s="1"/>
      <c r="D64" s="1"/>
    </row>
    <row r="65" spans="1:4" x14ac:dyDescent="0.3">
      <c r="A65" s="1"/>
      <c r="B65" s="1"/>
      <c r="C65" s="1"/>
      <c r="D65" s="1"/>
    </row>
    <row r="66" spans="1:4" x14ac:dyDescent="0.3">
      <c r="A66" s="1"/>
      <c r="B66" s="1"/>
      <c r="C66" s="1"/>
      <c r="D66" s="1"/>
    </row>
    <row r="67" spans="1:4" x14ac:dyDescent="0.3">
      <c r="A67" s="1"/>
      <c r="B67" s="1"/>
      <c r="C67" s="1"/>
      <c r="D67" s="1"/>
    </row>
    <row r="68" spans="1:4" x14ac:dyDescent="0.3">
      <c r="A68" s="1"/>
      <c r="B68" s="1"/>
      <c r="C68" s="1"/>
      <c r="D68" s="1"/>
    </row>
    <row r="69" spans="1:4" x14ac:dyDescent="0.3">
      <c r="A69" s="1"/>
      <c r="B69" s="1"/>
      <c r="C69" s="1"/>
      <c r="D69" s="1"/>
    </row>
    <row r="70" spans="1:4" x14ac:dyDescent="0.3">
      <c r="A70" s="1"/>
      <c r="B70" s="1"/>
      <c r="C70" s="1"/>
      <c r="D70" s="1"/>
    </row>
    <row r="71" spans="1:4" x14ac:dyDescent="0.3">
      <c r="A71" s="1"/>
      <c r="B71" s="1"/>
      <c r="C71" s="1"/>
      <c r="D71" s="1"/>
    </row>
    <row r="72" spans="1:4" x14ac:dyDescent="0.3">
      <c r="A72" s="1"/>
      <c r="B72" s="1"/>
      <c r="C72" s="1"/>
      <c r="D72" s="1"/>
    </row>
    <row r="73" spans="1:4" x14ac:dyDescent="0.3">
      <c r="A73" s="1"/>
      <c r="B73" s="1"/>
      <c r="C73" s="1"/>
      <c r="D73" s="1"/>
    </row>
    <row r="74" spans="1:4" x14ac:dyDescent="0.3">
      <c r="A74" s="1"/>
      <c r="B74" s="1"/>
      <c r="C74" s="1"/>
      <c r="D74" s="1"/>
    </row>
    <row r="75" spans="1:4" x14ac:dyDescent="0.3">
      <c r="A75" s="1"/>
      <c r="B75" s="1"/>
      <c r="C75" s="1"/>
      <c r="D75" s="1"/>
    </row>
    <row r="76" spans="1:4" x14ac:dyDescent="0.3">
      <c r="A76" s="1"/>
      <c r="B76" s="1"/>
      <c r="C76" s="1"/>
      <c r="D76" s="1"/>
    </row>
    <row r="77" spans="1:4" x14ac:dyDescent="0.3">
      <c r="A77" s="1"/>
      <c r="B77" s="1"/>
      <c r="C77" s="1"/>
      <c r="D77" s="1"/>
    </row>
    <row r="78" spans="1:4" x14ac:dyDescent="0.3">
      <c r="A78" s="1"/>
      <c r="B78" s="1"/>
      <c r="C78" s="1"/>
      <c r="D78" s="1"/>
    </row>
    <row r="79" spans="1:4" x14ac:dyDescent="0.3">
      <c r="A79" s="1"/>
      <c r="B79" s="1"/>
      <c r="C79" s="1"/>
      <c r="D79" s="1"/>
    </row>
    <row r="80" spans="1:4" x14ac:dyDescent="0.3">
      <c r="A80" s="1"/>
      <c r="B80" s="1"/>
      <c r="C80" s="1"/>
      <c r="D80" s="1"/>
    </row>
    <row r="81" spans="1:4" x14ac:dyDescent="0.3">
      <c r="A81" s="1"/>
      <c r="B81" s="1"/>
      <c r="C81" s="1"/>
      <c r="D81" s="1"/>
    </row>
    <row r="82" spans="1:4" x14ac:dyDescent="0.3">
      <c r="A82" s="1"/>
      <c r="B82" s="1"/>
      <c r="C82" s="1"/>
      <c r="D82" s="1"/>
    </row>
    <row r="83" spans="1:4" x14ac:dyDescent="0.3">
      <c r="A83" s="1"/>
      <c r="B83" s="1"/>
      <c r="C83" s="1"/>
      <c r="D83" s="1"/>
    </row>
    <row r="84" spans="1:4" x14ac:dyDescent="0.3">
      <c r="A84" s="1"/>
      <c r="B84" s="1"/>
      <c r="C84" s="1"/>
      <c r="D84" s="1"/>
    </row>
    <row r="85" spans="1:4" x14ac:dyDescent="0.3">
      <c r="A85" s="1"/>
      <c r="B85" s="1"/>
      <c r="C85" s="1"/>
      <c r="D85" s="1"/>
    </row>
    <row r="86" spans="1:4" x14ac:dyDescent="0.3">
      <c r="A86" s="1"/>
      <c r="B86" s="1"/>
      <c r="C86" s="1"/>
      <c r="D86" s="1"/>
    </row>
    <row r="87" spans="1:4" x14ac:dyDescent="0.3">
      <c r="A87" s="1"/>
      <c r="B87" s="1"/>
      <c r="C87" s="1"/>
      <c r="D87" s="1"/>
    </row>
    <row r="88" spans="1:4" x14ac:dyDescent="0.3">
      <c r="A88" s="1"/>
      <c r="B88" s="1"/>
      <c r="C88" s="1"/>
      <c r="D88" s="1"/>
    </row>
    <row r="89" spans="1:4" x14ac:dyDescent="0.3">
      <c r="A89" s="1"/>
      <c r="B89" s="1"/>
      <c r="C89" s="1"/>
      <c r="D89" s="1"/>
    </row>
    <row r="90" spans="1:4" x14ac:dyDescent="0.3">
      <c r="A90" s="1"/>
      <c r="B90" s="1"/>
      <c r="C90" s="1"/>
      <c r="D90" s="1"/>
    </row>
    <row r="91" spans="1:4" x14ac:dyDescent="0.3">
      <c r="A91" s="1"/>
      <c r="B91" s="1"/>
      <c r="C91" s="1"/>
      <c r="D91" s="1"/>
    </row>
    <row r="92" spans="1:4" x14ac:dyDescent="0.3">
      <c r="A92" s="1"/>
      <c r="B92" s="1"/>
      <c r="C92" s="1"/>
      <c r="D92" s="1"/>
    </row>
    <row r="93" spans="1:4" x14ac:dyDescent="0.3">
      <c r="A93" s="1"/>
      <c r="B93" s="1"/>
      <c r="C93" s="1"/>
      <c r="D93" s="1"/>
    </row>
    <row r="94" spans="1:4" x14ac:dyDescent="0.3">
      <c r="A94" s="1"/>
      <c r="B94" s="1"/>
      <c r="C94" s="1"/>
      <c r="D94" s="1"/>
    </row>
    <row r="95" spans="1:4" x14ac:dyDescent="0.3">
      <c r="A95" s="1"/>
      <c r="B95" s="1"/>
      <c r="C95" s="1"/>
      <c r="D95" s="1"/>
    </row>
    <row r="96" spans="1:4" x14ac:dyDescent="0.3">
      <c r="A96" s="1"/>
      <c r="B96" s="1"/>
      <c r="C96" s="1"/>
      <c r="D96" s="1"/>
    </row>
    <row r="97" spans="1:4" x14ac:dyDescent="0.3">
      <c r="A97" s="1"/>
      <c r="B97" s="1"/>
      <c r="C97" s="1"/>
      <c r="D97" s="1"/>
    </row>
    <row r="98" spans="1:4" x14ac:dyDescent="0.3">
      <c r="A98" s="1"/>
      <c r="B98" s="1"/>
      <c r="C98" s="1"/>
      <c r="D98" s="1"/>
    </row>
    <row r="99" spans="1:4" x14ac:dyDescent="0.3">
      <c r="A99" s="1"/>
      <c r="B99" s="1"/>
      <c r="C99" s="1"/>
      <c r="D99" s="1"/>
    </row>
    <row r="100" spans="1:4" x14ac:dyDescent="0.3">
      <c r="A100" s="1"/>
      <c r="B100" s="1"/>
      <c r="C100" s="1"/>
      <c r="D100" s="1"/>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6"/>
  <sheetViews>
    <sheetView workbookViewId="0"/>
  </sheetViews>
  <sheetFormatPr defaultRowHeight="16.5" x14ac:dyDescent="0.3"/>
  <cols>
    <col min="1" max="9" width="18" customWidth="1"/>
    <col min="10" max="10" width="36" customWidth="1"/>
    <col min="11" max="13" width="18" customWidth="1"/>
    <col min="14" max="14" width="36" customWidth="1"/>
    <col min="15" max="15" width="18" customWidth="1"/>
    <col min="16" max="18" width="36" customWidth="1"/>
  </cols>
  <sheetData>
    <row r="1" spans="1:18" x14ac:dyDescent="0.3">
      <c r="A1" s="10" t="s">
        <v>1300</v>
      </c>
      <c r="B1" s="10" t="s">
        <v>1301</v>
      </c>
      <c r="C1" s="10" t="s">
        <v>127</v>
      </c>
      <c r="D1" s="10" t="s">
        <v>1302</v>
      </c>
      <c r="E1" s="10" t="s">
        <v>1303</v>
      </c>
      <c r="F1" s="10" t="s">
        <v>1304</v>
      </c>
      <c r="G1" s="10" t="s">
        <v>1305</v>
      </c>
      <c r="H1" s="10" t="s">
        <v>1306</v>
      </c>
      <c r="I1" s="10" t="s">
        <v>1307</v>
      </c>
      <c r="J1" s="10" t="s">
        <v>1308</v>
      </c>
      <c r="K1" s="10" t="s">
        <v>1309</v>
      </c>
      <c r="L1" s="10" t="s">
        <v>1310</v>
      </c>
      <c r="M1" s="10" t="s">
        <v>1311</v>
      </c>
      <c r="N1" s="10" t="s">
        <v>1312</v>
      </c>
      <c r="O1" s="10" t="s">
        <v>1313</v>
      </c>
      <c r="P1" s="10" t="s">
        <v>1314</v>
      </c>
      <c r="Q1" s="10" t="s">
        <v>1315</v>
      </c>
      <c r="R1" s="10" t="s">
        <v>1316</v>
      </c>
    </row>
    <row r="2" spans="1:18" ht="66" x14ac:dyDescent="0.3">
      <c r="A2" s="4" t="s">
        <v>152</v>
      </c>
      <c r="B2" s="4" t="s">
        <v>153</v>
      </c>
      <c r="C2" s="4" t="s">
        <v>154</v>
      </c>
      <c r="D2" s="4" t="s">
        <v>1015</v>
      </c>
      <c r="E2" s="4" t="s">
        <v>1317</v>
      </c>
      <c r="F2" s="4" t="s">
        <v>1318</v>
      </c>
      <c r="G2" s="4" t="s">
        <v>1319</v>
      </c>
      <c r="H2" s="4" t="s">
        <v>1320</v>
      </c>
      <c r="I2" s="4" t="s">
        <v>1321</v>
      </c>
      <c r="J2" s="4" t="s">
        <v>1322</v>
      </c>
      <c r="K2" s="4" t="s">
        <v>1323</v>
      </c>
      <c r="L2" s="4" t="s">
        <v>1324</v>
      </c>
      <c r="M2" s="4" t="s">
        <v>1325</v>
      </c>
      <c r="N2" s="4" t="s">
        <v>1326</v>
      </c>
      <c r="O2" s="4"/>
      <c r="P2" s="4" t="s">
        <v>1327</v>
      </c>
      <c r="Q2" s="4" t="s">
        <v>1012</v>
      </c>
      <c r="R2" s="4" t="s">
        <v>1013</v>
      </c>
    </row>
    <row r="3" spans="1:18" ht="82.5" x14ac:dyDescent="0.3">
      <c r="A3" s="4" t="s">
        <v>167</v>
      </c>
      <c r="B3" s="4" t="s">
        <v>168</v>
      </c>
      <c r="C3" s="4" t="s">
        <v>1328</v>
      </c>
      <c r="D3" s="4" t="s">
        <v>1021</v>
      </c>
      <c r="E3" s="4" t="s">
        <v>1329</v>
      </c>
      <c r="F3" s="4" t="s">
        <v>1330</v>
      </c>
      <c r="G3" s="4" t="s">
        <v>1331</v>
      </c>
      <c r="H3" s="4" t="s">
        <v>1332</v>
      </c>
      <c r="I3" s="4" t="s">
        <v>1333</v>
      </c>
      <c r="J3" s="4" t="s">
        <v>1334</v>
      </c>
      <c r="K3" s="4" t="s">
        <v>1335</v>
      </c>
      <c r="L3" s="4" t="s">
        <v>143</v>
      </c>
      <c r="M3" s="4" t="s">
        <v>1336</v>
      </c>
      <c r="N3" s="4" t="s">
        <v>1337</v>
      </c>
      <c r="O3" s="4" t="s">
        <v>172</v>
      </c>
      <c r="P3" s="4" t="s">
        <v>1338</v>
      </c>
      <c r="Q3" s="4" t="s">
        <v>1018</v>
      </c>
      <c r="R3" s="4" t="s">
        <v>1019</v>
      </c>
    </row>
    <row r="4" spans="1:18" ht="82.5" x14ac:dyDescent="0.3">
      <c r="A4" s="4" t="s">
        <v>182</v>
      </c>
      <c r="B4" s="4" t="s">
        <v>183</v>
      </c>
      <c r="C4" s="4" t="s">
        <v>184</v>
      </c>
      <c r="D4" s="4" t="s">
        <v>1027</v>
      </c>
      <c r="E4" s="4" t="s">
        <v>1339</v>
      </c>
      <c r="F4" s="4" t="s">
        <v>1340</v>
      </c>
      <c r="G4" s="4" t="s">
        <v>1341</v>
      </c>
      <c r="H4" s="4" t="s">
        <v>1342</v>
      </c>
      <c r="I4" s="4" t="s">
        <v>1343</v>
      </c>
      <c r="J4" s="4" t="s">
        <v>1344</v>
      </c>
      <c r="K4" s="4" t="s">
        <v>1345</v>
      </c>
      <c r="L4" s="4" t="s">
        <v>1346</v>
      </c>
      <c r="M4" s="4" t="s">
        <v>1336</v>
      </c>
      <c r="N4" s="4" t="s">
        <v>1347</v>
      </c>
      <c r="O4" s="4"/>
      <c r="P4" s="4" t="s">
        <v>1348</v>
      </c>
      <c r="Q4" s="4" t="s">
        <v>1024</v>
      </c>
      <c r="R4" s="4" t="s">
        <v>1025</v>
      </c>
    </row>
    <row r="5" spans="1:18" ht="66" x14ac:dyDescent="0.3">
      <c r="A5" s="4" t="s">
        <v>194</v>
      </c>
      <c r="B5" s="4" t="s">
        <v>195</v>
      </c>
      <c r="C5" s="4" t="s">
        <v>1328</v>
      </c>
      <c r="D5" s="4" t="s">
        <v>1021</v>
      </c>
      <c r="E5" s="4" t="s">
        <v>1329</v>
      </c>
      <c r="F5" s="4" t="s">
        <v>1330</v>
      </c>
      <c r="G5" s="4" t="s">
        <v>1331</v>
      </c>
      <c r="H5" s="4" t="s">
        <v>1332</v>
      </c>
      <c r="I5" s="4" t="s">
        <v>1333</v>
      </c>
      <c r="J5" s="4" t="s">
        <v>1334</v>
      </c>
      <c r="K5" s="4" t="s">
        <v>1335</v>
      </c>
      <c r="L5" s="4" t="s">
        <v>143</v>
      </c>
      <c r="M5" s="4" t="s">
        <v>1336</v>
      </c>
      <c r="N5" s="4" t="s">
        <v>1349</v>
      </c>
      <c r="O5" s="4" t="s">
        <v>197</v>
      </c>
      <c r="P5" s="4" t="s">
        <v>1350</v>
      </c>
      <c r="Q5" s="4" t="s">
        <v>1030</v>
      </c>
      <c r="R5" s="4" t="s">
        <v>1031</v>
      </c>
    </row>
    <row r="6" spans="1:18" ht="66" x14ac:dyDescent="0.3">
      <c r="A6" s="4" t="s">
        <v>206</v>
      </c>
      <c r="B6" s="4" t="s">
        <v>207</v>
      </c>
      <c r="C6" s="4" t="s">
        <v>154</v>
      </c>
      <c r="D6" s="4" t="s">
        <v>1037</v>
      </c>
      <c r="E6" s="4" t="s">
        <v>1317</v>
      </c>
      <c r="F6" s="4" t="s">
        <v>1318</v>
      </c>
      <c r="G6" s="4" t="s">
        <v>1319</v>
      </c>
      <c r="H6" s="4" t="s">
        <v>1320</v>
      </c>
      <c r="I6" s="4" t="s">
        <v>1321</v>
      </c>
      <c r="J6" s="4" t="s">
        <v>1322</v>
      </c>
      <c r="K6" s="4" t="s">
        <v>1323</v>
      </c>
      <c r="L6" s="4" t="s">
        <v>1324</v>
      </c>
      <c r="M6" s="4" t="s">
        <v>1325</v>
      </c>
      <c r="N6" s="4" t="s">
        <v>1326</v>
      </c>
      <c r="O6" s="4"/>
      <c r="P6" s="4" t="s">
        <v>1351</v>
      </c>
      <c r="Q6" s="4" t="s">
        <v>1034</v>
      </c>
      <c r="R6" s="4" t="s">
        <v>1035</v>
      </c>
    </row>
    <row r="7" spans="1:18" ht="82.5" x14ac:dyDescent="0.3">
      <c r="A7" s="4" t="s">
        <v>217</v>
      </c>
      <c r="B7" s="4" t="s">
        <v>218</v>
      </c>
      <c r="C7" s="4" t="s">
        <v>154</v>
      </c>
      <c r="D7" s="4" t="s">
        <v>1042</v>
      </c>
      <c r="E7" s="4" t="s">
        <v>1329</v>
      </c>
      <c r="F7" s="4" t="s">
        <v>1352</v>
      </c>
      <c r="G7" s="4" t="s">
        <v>1353</v>
      </c>
      <c r="H7" s="4" t="s">
        <v>1354</v>
      </c>
      <c r="I7" s="4" t="s">
        <v>1355</v>
      </c>
      <c r="J7" s="4" t="s">
        <v>1356</v>
      </c>
      <c r="K7" s="4" t="s">
        <v>1357</v>
      </c>
      <c r="L7" s="4" t="s">
        <v>1358</v>
      </c>
      <c r="M7" s="4" t="s">
        <v>1336</v>
      </c>
      <c r="N7" s="4" t="s">
        <v>1359</v>
      </c>
      <c r="O7" s="4"/>
      <c r="P7" s="4" t="s">
        <v>1360</v>
      </c>
      <c r="Q7" s="4" t="s">
        <v>1039</v>
      </c>
      <c r="R7" s="4" t="s">
        <v>1040</v>
      </c>
    </row>
    <row r="8" spans="1:18" ht="66" x14ac:dyDescent="0.3">
      <c r="A8" s="4" t="s">
        <v>228</v>
      </c>
      <c r="B8" s="4" t="s">
        <v>229</v>
      </c>
      <c r="C8" s="4" t="s">
        <v>184</v>
      </c>
      <c r="D8" s="4" t="s">
        <v>1015</v>
      </c>
      <c r="E8" s="4" t="s">
        <v>1317</v>
      </c>
      <c r="F8" s="4" t="s">
        <v>1318</v>
      </c>
      <c r="G8" s="4" t="s">
        <v>1319</v>
      </c>
      <c r="H8" s="4" t="s">
        <v>1320</v>
      </c>
      <c r="I8" s="4" t="s">
        <v>1321</v>
      </c>
      <c r="J8" s="4" t="s">
        <v>1322</v>
      </c>
      <c r="K8" s="4" t="s">
        <v>1323</v>
      </c>
      <c r="L8" s="4" t="s">
        <v>1324</v>
      </c>
      <c r="M8" s="4" t="s">
        <v>1325</v>
      </c>
      <c r="N8" s="4" t="s">
        <v>1326</v>
      </c>
      <c r="O8" s="4"/>
      <c r="P8" s="4" t="s">
        <v>1361</v>
      </c>
      <c r="Q8" s="4" t="s">
        <v>1044</v>
      </c>
      <c r="R8" s="4" t="s">
        <v>1045</v>
      </c>
    </row>
    <row r="9" spans="1:18" ht="66" x14ac:dyDescent="0.3">
      <c r="A9" s="4" t="s">
        <v>234</v>
      </c>
      <c r="B9" s="4" t="s">
        <v>235</v>
      </c>
      <c r="C9" s="4" t="s">
        <v>184</v>
      </c>
      <c r="D9" s="4" t="s">
        <v>1050</v>
      </c>
      <c r="E9" s="4" t="s">
        <v>1339</v>
      </c>
      <c r="F9" s="4" t="s">
        <v>1340</v>
      </c>
      <c r="G9" s="4" t="s">
        <v>1341</v>
      </c>
      <c r="H9" s="4" t="s">
        <v>1342</v>
      </c>
      <c r="I9" s="4" t="s">
        <v>1343</v>
      </c>
      <c r="J9" s="4" t="s">
        <v>1344</v>
      </c>
      <c r="K9" s="4" t="s">
        <v>1345</v>
      </c>
      <c r="L9" s="4" t="s">
        <v>1346</v>
      </c>
      <c r="M9" s="4" t="s">
        <v>1336</v>
      </c>
      <c r="N9" s="4" t="s">
        <v>1347</v>
      </c>
      <c r="O9" s="4"/>
      <c r="P9" s="4" t="s">
        <v>1362</v>
      </c>
      <c r="Q9" s="4" t="s">
        <v>1047</v>
      </c>
      <c r="R9" s="4" t="s">
        <v>1048</v>
      </c>
    </row>
    <row r="10" spans="1:18" ht="82.5" x14ac:dyDescent="0.3">
      <c r="A10" s="4" t="s">
        <v>242</v>
      </c>
      <c r="B10" s="4" t="s">
        <v>243</v>
      </c>
      <c r="C10" s="4" t="s">
        <v>244</v>
      </c>
      <c r="D10" s="4" t="s">
        <v>1015</v>
      </c>
      <c r="E10" s="4" t="s">
        <v>1317</v>
      </c>
      <c r="F10" s="4" t="s">
        <v>1318</v>
      </c>
      <c r="G10" s="4" t="s">
        <v>1319</v>
      </c>
      <c r="H10" s="4" t="s">
        <v>1320</v>
      </c>
      <c r="I10" s="4" t="s">
        <v>1321</v>
      </c>
      <c r="J10" s="4" t="s">
        <v>1322</v>
      </c>
      <c r="K10" s="4" t="s">
        <v>1323</v>
      </c>
      <c r="L10" s="4" t="s">
        <v>1324</v>
      </c>
      <c r="M10" s="4" t="s">
        <v>1336</v>
      </c>
      <c r="N10" s="4" t="s">
        <v>1363</v>
      </c>
      <c r="O10" s="4" t="s">
        <v>172</v>
      </c>
      <c r="P10" s="4" t="s">
        <v>1364</v>
      </c>
      <c r="Q10" s="4" t="s">
        <v>1052</v>
      </c>
      <c r="R10" s="4" t="s">
        <v>1053</v>
      </c>
    </row>
    <row r="11" spans="1:18" ht="82.5" x14ac:dyDescent="0.3">
      <c r="A11" s="4" t="s">
        <v>253</v>
      </c>
      <c r="B11" s="4" t="s">
        <v>254</v>
      </c>
      <c r="C11" s="4" t="s">
        <v>184</v>
      </c>
      <c r="D11" s="4" t="s">
        <v>1055</v>
      </c>
      <c r="E11" s="4" t="s">
        <v>1365</v>
      </c>
      <c r="F11" s="4" t="s">
        <v>1366</v>
      </c>
      <c r="G11" s="4" t="s">
        <v>1367</v>
      </c>
      <c r="H11" s="4" t="s">
        <v>1368</v>
      </c>
      <c r="I11" s="4" t="s">
        <v>1369</v>
      </c>
      <c r="J11" s="4" t="s">
        <v>1370</v>
      </c>
      <c r="K11" s="4" t="s">
        <v>1371</v>
      </c>
      <c r="L11" s="4" t="s">
        <v>1372</v>
      </c>
      <c r="M11" s="4" t="s">
        <v>1336</v>
      </c>
      <c r="N11" s="4" t="s">
        <v>1373</v>
      </c>
      <c r="O11" s="4"/>
      <c r="P11" s="4" t="s">
        <v>1374</v>
      </c>
      <c r="Q11" s="4" t="s">
        <v>261</v>
      </c>
      <c r="R11" s="4" t="s">
        <v>1375</v>
      </c>
    </row>
    <row r="12" spans="1:18" ht="66" x14ac:dyDescent="0.3">
      <c r="A12" s="4" t="s">
        <v>264</v>
      </c>
      <c r="B12" s="4" t="s">
        <v>265</v>
      </c>
      <c r="C12" s="4" t="s">
        <v>1328</v>
      </c>
      <c r="D12" s="4" t="s">
        <v>1058</v>
      </c>
      <c r="E12" s="4" t="s">
        <v>1329</v>
      </c>
      <c r="F12" s="4" t="s">
        <v>1330</v>
      </c>
      <c r="G12" s="4" t="s">
        <v>1331</v>
      </c>
      <c r="H12" s="4" t="s">
        <v>1332</v>
      </c>
      <c r="I12" s="4" t="s">
        <v>1333</v>
      </c>
      <c r="J12" s="4" t="s">
        <v>1334</v>
      </c>
      <c r="K12" s="4" t="s">
        <v>1335</v>
      </c>
      <c r="L12" s="4" t="s">
        <v>143</v>
      </c>
      <c r="M12" s="4" t="s">
        <v>1336</v>
      </c>
      <c r="N12" s="4" t="s">
        <v>1376</v>
      </c>
      <c r="O12" s="4"/>
      <c r="P12" s="4" t="s">
        <v>1377</v>
      </c>
      <c r="Q12" s="4" t="s">
        <v>1378</v>
      </c>
      <c r="R12" s="4" t="s">
        <v>1379</v>
      </c>
    </row>
    <row r="13" spans="1:18" ht="82.5" x14ac:dyDescent="0.3">
      <c r="A13" s="4" t="s">
        <v>274</v>
      </c>
      <c r="B13" s="4" t="s">
        <v>275</v>
      </c>
      <c r="C13" s="4" t="s">
        <v>154</v>
      </c>
      <c r="D13" s="4" t="s">
        <v>1042</v>
      </c>
      <c r="E13" s="4" t="s">
        <v>1329</v>
      </c>
      <c r="F13" s="4" t="s">
        <v>1352</v>
      </c>
      <c r="G13" s="4" t="s">
        <v>1353</v>
      </c>
      <c r="H13" s="4" t="s">
        <v>1354</v>
      </c>
      <c r="I13" s="4" t="s">
        <v>1355</v>
      </c>
      <c r="J13" s="4" t="s">
        <v>1356</v>
      </c>
      <c r="K13" s="4" t="s">
        <v>1357</v>
      </c>
      <c r="L13" s="4" t="s">
        <v>1358</v>
      </c>
      <c r="M13" s="4" t="s">
        <v>1336</v>
      </c>
      <c r="N13" s="4" t="s">
        <v>1359</v>
      </c>
      <c r="O13" s="4"/>
      <c r="P13" s="4" t="s">
        <v>1380</v>
      </c>
      <c r="Q13" s="4" t="s">
        <v>1381</v>
      </c>
      <c r="R13" s="4" t="s">
        <v>1382</v>
      </c>
    </row>
    <row r="14" spans="1:18" ht="82.5" x14ac:dyDescent="0.3">
      <c r="A14" s="4" t="s">
        <v>285</v>
      </c>
      <c r="B14" s="4" t="s">
        <v>286</v>
      </c>
      <c r="C14" s="4" t="s">
        <v>184</v>
      </c>
      <c r="D14" s="4" t="s">
        <v>1059</v>
      </c>
      <c r="E14" s="4" t="s">
        <v>1365</v>
      </c>
      <c r="F14" s="4" t="s">
        <v>1366</v>
      </c>
      <c r="G14" s="4" t="s">
        <v>1367</v>
      </c>
      <c r="H14" s="4" t="s">
        <v>1368</v>
      </c>
      <c r="I14" s="4" t="s">
        <v>1369</v>
      </c>
      <c r="J14" s="4" t="s">
        <v>1370</v>
      </c>
      <c r="K14" s="4" t="s">
        <v>1371</v>
      </c>
      <c r="L14" s="4" t="s">
        <v>1372</v>
      </c>
      <c r="M14" s="4" t="s">
        <v>1336</v>
      </c>
      <c r="N14" s="4" t="s">
        <v>1373</v>
      </c>
      <c r="O14" s="4"/>
      <c r="P14" s="4" t="s">
        <v>1383</v>
      </c>
      <c r="Q14" s="4" t="s">
        <v>1384</v>
      </c>
      <c r="R14" s="4" t="s">
        <v>1385</v>
      </c>
    </row>
    <row r="15" spans="1:18" ht="66" x14ac:dyDescent="0.3">
      <c r="A15" s="4" t="s">
        <v>294</v>
      </c>
      <c r="B15" s="4" t="s">
        <v>295</v>
      </c>
      <c r="C15" s="4" t="s">
        <v>1328</v>
      </c>
      <c r="D15" s="4" t="s">
        <v>1061</v>
      </c>
      <c r="E15" s="4" t="s">
        <v>1329</v>
      </c>
      <c r="F15" s="4" t="s">
        <v>1386</v>
      </c>
      <c r="G15" s="4" t="s">
        <v>1353</v>
      </c>
      <c r="H15" s="4" t="s">
        <v>1354</v>
      </c>
      <c r="I15" s="4" t="s">
        <v>1355</v>
      </c>
      <c r="J15" s="4" t="s">
        <v>1356</v>
      </c>
      <c r="K15" s="4" t="s">
        <v>1357</v>
      </c>
      <c r="L15" s="4" t="s">
        <v>1358</v>
      </c>
      <c r="M15" s="4" t="s">
        <v>1336</v>
      </c>
      <c r="N15" s="4" t="s">
        <v>1359</v>
      </c>
      <c r="O15" s="4"/>
      <c r="P15" s="4" t="s">
        <v>1387</v>
      </c>
      <c r="Q15" s="4" t="s">
        <v>1388</v>
      </c>
      <c r="R15" s="4" t="s">
        <v>304</v>
      </c>
    </row>
    <row r="16" spans="1:18" ht="66" x14ac:dyDescent="0.3">
      <c r="A16" s="4" t="s">
        <v>306</v>
      </c>
      <c r="B16" s="4" t="s">
        <v>307</v>
      </c>
      <c r="C16" s="4" t="s">
        <v>184</v>
      </c>
      <c r="D16" s="4" t="s">
        <v>1050</v>
      </c>
      <c r="E16" s="4" t="s">
        <v>1339</v>
      </c>
      <c r="F16" s="4" t="s">
        <v>1340</v>
      </c>
      <c r="G16" s="4" t="s">
        <v>1341</v>
      </c>
      <c r="H16" s="4" t="s">
        <v>1342</v>
      </c>
      <c r="I16" s="4" t="s">
        <v>1343</v>
      </c>
      <c r="J16" s="4" t="s">
        <v>1344</v>
      </c>
      <c r="K16" s="4" t="s">
        <v>1345</v>
      </c>
      <c r="L16" s="4" t="s">
        <v>1346</v>
      </c>
      <c r="M16" s="4" t="s">
        <v>1336</v>
      </c>
      <c r="N16" s="4" t="s">
        <v>1347</v>
      </c>
      <c r="O16" s="4"/>
      <c r="P16" s="4" t="s">
        <v>1389</v>
      </c>
      <c r="Q16" s="4" t="s">
        <v>1390</v>
      </c>
      <c r="R16" s="4" t="s">
        <v>1391</v>
      </c>
    </row>
    <row r="17" spans="1:18" ht="82.5" x14ac:dyDescent="0.3">
      <c r="A17" s="4" t="s">
        <v>314</v>
      </c>
      <c r="B17" s="4" t="s">
        <v>315</v>
      </c>
      <c r="C17" s="4" t="s">
        <v>154</v>
      </c>
      <c r="D17" s="4" t="s">
        <v>1064</v>
      </c>
      <c r="E17" s="4" t="s">
        <v>1339</v>
      </c>
      <c r="F17" s="4" t="s">
        <v>1392</v>
      </c>
      <c r="G17" s="4" t="s">
        <v>1341</v>
      </c>
      <c r="H17" s="4" t="s">
        <v>1342</v>
      </c>
      <c r="I17" s="4" t="s">
        <v>1343</v>
      </c>
      <c r="J17" s="4" t="s">
        <v>1344</v>
      </c>
      <c r="K17" s="4" t="s">
        <v>1345</v>
      </c>
      <c r="L17" s="4" t="s">
        <v>1346</v>
      </c>
      <c r="M17" s="4" t="s">
        <v>1336</v>
      </c>
      <c r="N17" s="4" t="s">
        <v>1347</v>
      </c>
      <c r="O17" s="4"/>
      <c r="P17" s="4" t="s">
        <v>1393</v>
      </c>
      <c r="Q17" s="4" t="s">
        <v>319</v>
      </c>
      <c r="R17" s="4" t="s">
        <v>1394</v>
      </c>
    </row>
    <row r="18" spans="1:18" ht="66" x14ac:dyDescent="0.3">
      <c r="A18" s="4" t="s">
        <v>322</v>
      </c>
      <c r="B18" s="4" t="s">
        <v>323</v>
      </c>
      <c r="C18" s="4" t="s">
        <v>154</v>
      </c>
      <c r="D18" s="4" t="s">
        <v>1061</v>
      </c>
      <c r="E18" s="4" t="s">
        <v>1339</v>
      </c>
      <c r="F18" s="4" t="s">
        <v>1392</v>
      </c>
      <c r="G18" s="4" t="s">
        <v>1341</v>
      </c>
      <c r="H18" s="4" t="s">
        <v>1342</v>
      </c>
      <c r="I18" s="4" t="s">
        <v>1343</v>
      </c>
      <c r="J18" s="4" t="s">
        <v>1344</v>
      </c>
      <c r="K18" s="4" t="s">
        <v>1345</v>
      </c>
      <c r="L18" s="4" t="s">
        <v>1346</v>
      </c>
      <c r="M18" s="4" t="s">
        <v>1336</v>
      </c>
      <c r="N18" s="4" t="s">
        <v>1395</v>
      </c>
      <c r="O18" s="4" t="s">
        <v>324</v>
      </c>
      <c r="P18" s="4" t="s">
        <v>1396</v>
      </c>
      <c r="Q18" s="4" t="s">
        <v>330</v>
      </c>
      <c r="R18" s="4" t="s">
        <v>1397</v>
      </c>
    </row>
    <row r="19" spans="1:18" ht="66" x14ac:dyDescent="0.3">
      <c r="A19" s="4" t="s">
        <v>334</v>
      </c>
      <c r="B19" s="4" t="s">
        <v>335</v>
      </c>
      <c r="C19" s="4" t="s">
        <v>336</v>
      </c>
      <c r="D19" s="4" t="s">
        <v>1066</v>
      </c>
      <c r="E19" s="4" t="s">
        <v>1339</v>
      </c>
      <c r="F19" s="4" t="s">
        <v>1398</v>
      </c>
      <c r="G19" s="4" t="s">
        <v>1341</v>
      </c>
      <c r="H19" s="4" t="s">
        <v>1342</v>
      </c>
      <c r="I19" s="4" t="s">
        <v>1343</v>
      </c>
      <c r="J19" s="4" t="s">
        <v>1344</v>
      </c>
      <c r="K19" s="4" t="s">
        <v>1345</v>
      </c>
      <c r="L19" s="4" t="s">
        <v>1346</v>
      </c>
      <c r="M19" s="4" t="s">
        <v>1336</v>
      </c>
      <c r="N19" s="4" t="s">
        <v>1399</v>
      </c>
      <c r="O19" s="4" t="s">
        <v>339</v>
      </c>
      <c r="P19" s="4" t="s">
        <v>1400</v>
      </c>
      <c r="Q19" s="4" t="s">
        <v>344</v>
      </c>
      <c r="R19" s="4" t="s">
        <v>1401</v>
      </c>
    </row>
    <row r="20" spans="1:18" ht="82.5" x14ac:dyDescent="0.3">
      <c r="A20" s="4" t="s">
        <v>347</v>
      </c>
      <c r="B20" s="4" t="s">
        <v>348</v>
      </c>
      <c r="C20" s="4" t="s">
        <v>1328</v>
      </c>
      <c r="D20" s="4" t="s">
        <v>1068</v>
      </c>
      <c r="E20" s="4" t="s">
        <v>1329</v>
      </c>
      <c r="F20" s="4" t="s">
        <v>1330</v>
      </c>
      <c r="G20" s="4" t="s">
        <v>1331</v>
      </c>
      <c r="H20" s="4" t="s">
        <v>1332</v>
      </c>
      <c r="I20" s="4" t="s">
        <v>1333</v>
      </c>
      <c r="J20" s="4" t="s">
        <v>1334</v>
      </c>
      <c r="K20" s="4" t="s">
        <v>1335</v>
      </c>
      <c r="L20" s="4" t="s">
        <v>143</v>
      </c>
      <c r="M20" s="4" t="s">
        <v>1336</v>
      </c>
      <c r="N20" s="4" t="s">
        <v>1376</v>
      </c>
      <c r="O20" s="4"/>
      <c r="P20" s="4" t="s">
        <v>1402</v>
      </c>
      <c r="Q20" s="4" t="s">
        <v>1403</v>
      </c>
      <c r="R20" s="4" t="s">
        <v>357</v>
      </c>
    </row>
    <row r="21" spans="1:18" ht="66" x14ac:dyDescent="0.3">
      <c r="A21" s="4" t="s">
        <v>359</v>
      </c>
      <c r="B21" s="4" t="s">
        <v>360</v>
      </c>
      <c r="C21" s="4" t="s">
        <v>154</v>
      </c>
      <c r="D21" s="4" t="s">
        <v>1073</v>
      </c>
      <c r="E21" s="4" t="s">
        <v>1329</v>
      </c>
      <c r="F21" s="4" t="s">
        <v>1404</v>
      </c>
      <c r="G21" s="4" t="s">
        <v>1331</v>
      </c>
      <c r="H21" s="4" t="s">
        <v>1332</v>
      </c>
      <c r="I21" s="4" t="s">
        <v>1333</v>
      </c>
      <c r="J21" s="4" t="s">
        <v>1334</v>
      </c>
      <c r="K21" s="4" t="s">
        <v>1335</v>
      </c>
      <c r="L21" s="4" t="s">
        <v>143</v>
      </c>
      <c r="M21" s="4" t="s">
        <v>1336</v>
      </c>
      <c r="N21" s="4" t="s">
        <v>1376</v>
      </c>
      <c r="O21" s="4"/>
      <c r="P21" s="4" t="s">
        <v>1405</v>
      </c>
      <c r="Q21" s="4" t="s">
        <v>1071</v>
      </c>
      <c r="R21" s="4" t="s">
        <v>365</v>
      </c>
    </row>
    <row r="22" spans="1:18" ht="82.5" x14ac:dyDescent="0.3">
      <c r="A22" s="4" t="s">
        <v>367</v>
      </c>
      <c r="B22" s="4" t="s">
        <v>368</v>
      </c>
      <c r="C22" s="4" t="s">
        <v>154</v>
      </c>
      <c r="D22" s="4" t="s">
        <v>1061</v>
      </c>
      <c r="E22" s="4" t="s">
        <v>1339</v>
      </c>
      <c r="F22" s="4" t="s">
        <v>1392</v>
      </c>
      <c r="G22" s="4" t="s">
        <v>1341</v>
      </c>
      <c r="H22" s="4" t="s">
        <v>1342</v>
      </c>
      <c r="I22" s="4" t="s">
        <v>1343</v>
      </c>
      <c r="J22" s="4" t="s">
        <v>1344</v>
      </c>
      <c r="K22" s="4" t="s">
        <v>1345</v>
      </c>
      <c r="L22" s="4" t="s">
        <v>1346</v>
      </c>
      <c r="M22" s="4" t="s">
        <v>1336</v>
      </c>
      <c r="N22" s="4" t="s">
        <v>1347</v>
      </c>
      <c r="O22" s="4"/>
      <c r="P22" s="4" t="s">
        <v>1406</v>
      </c>
      <c r="Q22" s="4" t="s">
        <v>1075</v>
      </c>
      <c r="R22" s="4" t="s">
        <v>1076</v>
      </c>
    </row>
    <row r="23" spans="1:18" ht="82.5" x14ac:dyDescent="0.3">
      <c r="A23" s="4" t="s">
        <v>375</v>
      </c>
      <c r="B23" s="4" t="s">
        <v>376</v>
      </c>
      <c r="C23" s="4" t="s">
        <v>377</v>
      </c>
      <c r="D23" s="4" t="s">
        <v>1081</v>
      </c>
      <c r="E23" s="4" t="s">
        <v>1329</v>
      </c>
      <c r="F23" s="4" t="s">
        <v>1407</v>
      </c>
      <c r="G23" s="4" t="s">
        <v>1353</v>
      </c>
      <c r="H23" s="4" t="s">
        <v>1354</v>
      </c>
      <c r="I23" s="4" t="s">
        <v>1355</v>
      </c>
      <c r="J23" s="4" t="s">
        <v>1356</v>
      </c>
      <c r="K23" s="4" t="s">
        <v>1357</v>
      </c>
      <c r="L23" s="4" t="s">
        <v>1358</v>
      </c>
      <c r="M23" s="4" t="s">
        <v>1336</v>
      </c>
      <c r="N23" s="4" t="s">
        <v>1408</v>
      </c>
      <c r="O23" s="4" t="s">
        <v>324</v>
      </c>
      <c r="P23" s="4" t="s">
        <v>1409</v>
      </c>
      <c r="Q23" s="4" t="s">
        <v>1078</v>
      </c>
      <c r="R23" s="4" t="s">
        <v>1079</v>
      </c>
    </row>
    <row r="24" spans="1:18" ht="82.5" x14ac:dyDescent="0.3">
      <c r="A24" s="4" t="s">
        <v>384</v>
      </c>
      <c r="B24" s="4" t="s">
        <v>385</v>
      </c>
      <c r="C24" s="4" t="s">
        <v>1328</v>
      </c>
      <c r="D24" s="4" t="s">
        <v>1068</v>
      </c>
      <c r="E24" s="4" t="s">
        <v>1339</v>
      </c>
      <c r="F24" s="4" t="s">
        <v>1410</v>
      </c>
      <c r="G24" s="4" t="s">
        <v>1341</v>
      </c>
      <c r="H24" s="4" t="s">
        <v>1342</v>
      </c>
      <c r="I24" s="4" t="s">
        <v>1343</v>
      </c>
      <c r="J24" s="4" t="s">
        <v>1344</v>
      </c>
      <c r="K24" s="4" t="s">
        <v>1345</v>
      </c>
      <c r="L24" s="4" t="s">
        <v>1346</v>
      </c>
      <c r="M24" s="4" t="s">
        <v>1336</v>
      </c>
      <c r="N24" s="4" t="s">
        <v>1347</v>
      </c>
      <c r="O24" s="4"/>
      <c r="P24" s="4" t="s">
        <v>1411</v>
      </c>
      <c r="Q24" s="4" t="s">
        <v>1083</v>
      </c>
      <c r="R24" s="4" t="s">
        <v>1084</v>
      </c>
    </row>
    <row r="25" spans="1:18" ht="82.5" x14ac:dyDescent="0.3">
      <c r="A25" s="4" t="s">
        <v>394</v>
      </c>
      <c r="B25" s="4" t="s">
        <v>395</v>
      </c>
      <c r="C25" s="4" t="s">
        <v>396</v>
      </c>
      <c r="D25" s="4" t="s">
        <v>1042</v>
      </c>
      <c r="E25" s="4" t="s">
        <v>1329</v>
      </c>
      <c r="F25" s="4" t="s">
        <v>1412</v>
      </c>
      <c r="G25" s="4" t="s">
        <v>1353</v>
      </c>
      <c r="H25" s="4" t="s">
        <v>1354</v>
      </c>
      <c r="I25" s="4" t="s">
        <v>1355</v>
      </c>
      <c r="J25" s="4" t="s">
        <v>1356</v>
      </c>
      <c r="K25" s="4" t="s">
        <v>1357</v>
      </c>
      <c r="L25" s="4" t="s">
        <v>1358</v>
      </c>
      <c r="M25" s="4" t="s">
        <v>1336</v>
      </c>
      <c r="N25" s="4" t="s">
        <v>1359</v>
      </c>
      <c r="O25" s="4"/>
      <c r="P25" s="4" t="s">
        <v>1413</v>
      </c>
      <c r="Q25" s="4" t="s">
        <v>1087</v>
      </c>
      <c r="R25" s="4" t="s">
        <v>1088</v>
      </c>
    </row>
    <row r="26" spans="1:18" ht="82.5" x14ac:dyDescent="0.3">
      <c r="A26" s="4" t="s">
        <v>404</v>
      </c>
      <c r="B26" s="4" t="s">
        <v>405</v>
      </c>
      <c r="C26" s="4" t="s">
        <v>244</v>
      </c>
      <c r="D26" s="4" t="s">
        <v>1061</v>
      </c>
      <c r="E26" s="4" t="s">
        <v>1329</v>
      </c>
      <c r="F26" s="4" t="s">
        <v>1414</v>
      </c>
      <c r="G26" s="4" t="s">
        <v>1353</v>
      </c>
      <c r="H26" s="4" t="s">
        <v>1354</v>
      </c>
      <c r="I26" s="4" t="s">
        <v>1355</v>
      </c>
      <c r="J26" s="4" t="s">
        <v>1356</v>
      </c>
      <c r="K26" s="4" t="s">
        <v>1357</v>
      </c>
      <c r="L26" s="4" t="s">
        <v>1358</v>
      </c>
      <c r="M26" s="4" t="s">
        <v>1336</v>
      </c>
      <c r="N26" s="4" t="s">
        <v>1359</v>
      </c>
      <c r="O26" s="4"/>
      <c r="P26" s="4" t="s">
        <v>1415</v>
      </c>
      <c r="Q26" s="4" t="s">
        <v>1092</v>
      </c>
      <c r="R26" s="4" t="s">
        <v>1093</v>
      </c>
    </row>
    <row r="27" spans="1:18" ht="66" x14ac:dyDescent="0.3">
      <c r="A27" s="4" t="s">
        <v>412</v>
      </c>
      <c r="B27" s="4" t="s">
        <v>413</v>
      </c>
      <c r="C27" s="4" t="s">
        <v>1328</v>
      </c>
      <c r="D27" s="4" t="s">
        <v>1015</v>
      </c>
      <c r="E27" s="4" t="s">
        <v>1317</v>
      </c>
      <c r="F27" s="4" t="s">
        <v>1318</v>
      </c>
      <c r="G27" s="4" t="s">
        <v>1319</v>
      </c>
      <c r="H27" s="4" t="s">
        <v>1320</v>
      </c>
      <c r="I27" s="4" t="s">
        <v>1321</v>
      </c>
      <c r="J27" s="4" t="s">
        <v>1322</v>
      </c>
      <c r="K27" s="4" t="s">
        <v>1323</v>
      </c>
      <c r="L27" s="4" t="s">
        <v>1324</v>
      </c>
      <c r="M27" s="4" t="s">
        <v>1325</v>
      </c>
      <c r="N27" s="4" t="s">
        <v>1326</v>
      </c>
      <c r="O27" s="4"/>
      <c r="P27" s="4" t="s">
        <v>1416</v>
      </c>
      <c r="Q27" s="4" t="s">
        <v>1096</v>
      </c>
      <c r="R27" s="4" t="s">
        <v>1097</v>
      </c>
    </row>
    <row r="28" spans="1:18" ht="66" x14ac:dyDescent="0.3">
      <c r="A28" s="4" t="s">
        <v>418</v>
      </c>
      <c r="B28" s="4" t="s">
        <v>419</v>
      </c>
      <c r="C28" s="4" t="s">
        <v>396</v>
      </c>
      <c r="D28" s="4" t="s">
        <v>1015</v>
      </c>
      <c r="E28" s="4" t="s">
        <v>1317</v>
      </c>
      <c r="F28" s="4" t="s">
        <v>1318</v>
      </c>
      <c r="G28" s="4" t="s">
        <v>1319</v>
      </c>
      <c r="H28" s="4" t="s">
        <v>1320</v>
      </c>
      <c r="I28" s="4" t="s">
        <v>1321</v>
      </c>
      <c r="J28" s="4" t="s">
        <v>1322</v>
      </c>
      <c r="K28" s="4" t="s">
        <v>1323</v>
      </c>
      <c r="L28" s="4" t="s">
        <v>1324</v>
      </c>
      <c r="M28" s="4" t="s">
        <v>1325</v>
      </c>
      <c r="N28" s="4" t="s">
        <v>1326</v>
      </c>
      <c r="O28" s="4"/>
      <c r="P28" s="4" t="s">
        <v>1417</v>
      </c>
      <c r="Q28" s="4" t="s">
        <v>1099</v>
      </c>
      <c r="R28" s="4" t="s">
        <v>1100</v>
      </c>
    </row>
    <row r="29" spans="1:18" ht="82.5" x14ac:dyDescent="0.3">
      <c r="A29" s="4" t="s">
        <v>423</v>
      </c>
      <c r="B29" s="4" t="s">
        <v>424</v>
      </c>
      <c r="C29" s="4" t="s">
        <v>425</v>
      </c>
      <c r="D29" s="4" t="s">
        <v>1037</v>
      </c>
      <c r="E29" s="4" t="s">
        <v>1317</v>
      </c>
      <c r="F29" s="4" t="s">
        <v>1318</v>
      </c>
      <c r="G29" s="4" t="s">
        <v>1319</v>
      </c>
      <c r="H29" s="4" t="s">
        <v>1320</v>
      </c>
      <c r="I29" s="4" t="s">
        <v>1321</v>
      </c>
      <c r="J29" s="4" t="s">
        <v>1322</v>
      </c>
      <c r="K29" s="4" t="s">
        <v>1323</v>
      </c>
      <c r="L29" s="4" t="s">
        <v>1324</v>
      </c>
      <c r="M29" s="4" t="s">
        <v>1325</v>
      </c>
      <c r="N29" s="4" t="s">
        <v>1418</v>
      </c>
      <c r="O29" s="4" t="s">
        <v>339</v>
      </c>
      <c r="P29" s="4" t="s">
        <v>1419</v>
      </c>
      <c r="Q29" s="4" t="s">
        <v>1102</v>
      </c>
      <c r="R29" s="4" t="s">
        <v>1103</v>
      </c>
    </row>
    <row r="30" spans="1:18" ht="66" x14ac:dyDescent="0.3">
      <c r="A30" s="4" t="s">
        <v>431</v>
      </c>
      <c r="B30" s="4" t="s">
        <v>432</v>
      </c>
      <c r="C30" s="4" t="s">
        <v>396</v>
      </c>
      <c r="D30" s="4" t="s">
        <v>1037</v>
      </c>
      <c r="E30" s="4" t="s">
        <v>1317</v>
      </c>
      <c r="F30" s="4" t="s">
        <v>1318</v>
      </c>
      <c r="G30" s="4" t="s">
        <v>1319</v>
      </c>
      <c r="H30" s="4" t="s">
        <v>1320</v>
      </c>
      <c r="I30" s="4" t="s">
        <v>1321</v>
      </c>
      <c r="J30" s="4" t="s">
        <v>1322</v>
      </c>
      <c r="K30" s="4" t="s">
        <v>1323</v>
      </c>
      <c r="L30" s="4" t="s">
        <v>1324</v>
      </c>
      <c r="M30" s="4" t="s">
        <v>1325</v>
      </c>
      <c r="N30" s="4" t="s">
        <v>1326</v>
      </c>
      <c r="O30" s="4"/>
      <c r="P30" s="4" t="s">
        <v>1420</v>
      </c>
      <c r="Q30" s="4" t="s">
        <v>434</v>
      </c>
      <c r="R30" s="4" t="s">
        <v>1106</v>
      </c>
    </row>
    <row r="31" spans="1:18" ht="82.5" x14ac:dyDescent="0.3">
      <c r="A31" s="4" t="s">
        <v>437</v>
      </c>
      <c r="B31" s="4" t="s">
        <v>438</v>
      </c>
      <c r="C31" s="4" t="s">
        <v>396</v>
      </c>
      <c r="D31" s="4" t="s">
        <v>1061</v>
      </c>
      <c r="E31" s="4" t="s">
        <v>1329</v>
      </c>
      <c r="F31" s="4" t="s">
        <v>1412</v>
      </c>
      <c r="G31" s="4" t="s">
        <v>1353</v>
      </c>
      <c r="H31" s="4" t="s">
        <v>1354</v>
      </c>
      <c r="I31" s="4" t="s">
        <v>1355</v>
      </c>
      <c r="J31" s="4" t="s">
        <v>1356</v>
      </c>
      <c r="K31" s="4" t="s">
        <v>1357</v>
      </c>
      <c r="L31" s="4" t="s">
        <v>1358</v>
      </c>
      <c r="M31" s="4" t="s">
        <v>1336</v>
      </c>
      <c r="N31" s="4" t="s">
        <v>1421</v>
      </c>
      <c r="O31" s="4" t="s">
        <v>439</v>
      </c>
      <c r="P31" s="4" t="s">
        <v>1422</v>
      </c>
      <c r="Q31" s="4" t="s">
        <v>443</v>
      </c>
      <c r="R31" s="4" t="s">
        <v>1108</v>
      </c>
    </row>
    <row r="32" spans="1:18" ht="66" x14ac:dyDescent="0.3">
      <c r="A32" s="4" t="s">
        <v>446</v>
      </c>
      <c r="B32" s="4" t="s">
        <v>447</v>
      </c>
      <c r="C32" s="4" t="s">
        <v>184</v>
      </c>
      <c r="D32" s="4" t="s">
        <v>1058</v>
      </c>
      <c r="E32" s="4" t="s">
        <v>1339</v>
      </c>
      <c r="F32" s="4" t="s">
        <v>1340</v>
      </c>
      <c r="G32" s="4" t="s">
        <v>1341</v>
      </c>
      <c r="H32" s="4" t="s">
        <v>1342</v>
      </c>
      <c r="I32" s="4" t="s">
        <v>1343</v>
      </c>
      <c r="J32" s="4" t="s">
        <v>1344</v>
      </c>
      <c r="K32" s="4" t="s">
        <v>1345</v>
      </c>
      <c r="L32" s="4" t="s">
        <v>1346</v>
      </c>
      <c r="M32" s="4" t="s">
        <v>1336</v>
      </c>
      <c r="N32" s="4" t="s">
        <v>1423</v>
      </c>
      <c r="O32" s="4" t="s">
        <v>449</v>
      </c>
      <c r="P32" s="4" t="s">
        <v>1424</v>
      </c>
      <c r="Q32" s="4" t="s">
        <v>1110</v>
      </c>
      <c r="R32" s="4" t="s">
        <v>1111</v>
      </c>
    </row>
    <row r="33" spans="1:18" ht="82.5" x14ac:dyDescent="0.3">
      <c r="A33" s="4" t="s">
        <v>458</v>
      </c>
      <c r="B33" s="4" t="s">
        <v>459</v>
      </c>
      <c r="C33" s="4" t="s">
        <v>244</v>
      </c>
      <c r="D33" s="4" t="s">
        <v>1061</v>
      </c>
      <c r="E33" s="4" t="s">
        <v>1329</v>
      </c>
      <c r="F33" s="4" t="s">
        <v>1414</v>
      </c>
      <c r="G33" s="4" t="s">
        <v>1353</v>
      </c>
      <c r="H33" s="4" t="s">
        <v>1354</v>
      </c>
      <c r="I33" s="4" t="s">
        <v>1355</v>
      </c>
      <c r="J33" s="4" t="s">
        <v>1356</v>
      </c>
      <c r="K33" s="4" t="s">
        <v>1357</v>
      </c>
      <c r="L33" s="4" t="s">
        <v>1358</v>
      </c>
      <c r="M33" s="4" t="s">
        <v>1336</v>
      </c>
      <c r="N33" s="4" t="s">
        <v>1425</v>
      </c>
      <c r="O33" s="4" t="s">
        <v>172</v>
      </c>
      <c r="P33" s="4" t="s">
        <v>1426</v>
      </c>
      <c r="Q33" s="4" t="s">
        <v>462</v>
      </c>
      <c r="R33" s="4" t="s">
        <v>1113</v>
      </c>
    </row>
    <row r="34" spans="1:18" ht="82.5" x14ac:dyDescent="0.3">
      <c r="A34" s="4" t="s">
        <v>465</v>
      </c>
      <c r="B34" s="4" t="s">
        <v>466</v>
      </c>
      <c r="C34" s="4" t="s">
        <v>244</v>
      </c>
      <c r="D34" s="4" t="s">
        <v>1042</v>
      </c>
      <c r="E34" s="4" t="s">
        <v>1329</v>
      </c>
      <c r="F34" s="4" t="s">
        <v>1414</v>
      </c>
      <c r="G34" s="4" t="s">
        <v>1353</v>
      </c>
      <c r="H34" s="4" t="s">
        <v>1354</v>
      </c>
      <c r="I34" s="4" t="s">
        <v>1355</v>
      </c>
      <c r="J34" s="4" t="s">
        <v>1356</v>
      </c>
      <c r="K34" s="4" t="s">
        <v>1357</v>
      </c>
      <c r="L34" s="4" t="s">
        <v>1358</v>
      </c>
      <c r="M34" s="4" t="s">
        <v>1336</v>
      </c>
      <c r="N34" s="4" t="s">
        <v>1359</v>
      </c>
      <c r="O34" s="4"/>
      <c r="P34" s="4" t="s">
        <v>1427</v>
      </c>
      <c r="Q34" s="4" t="s">
        <v>1115</v>
      </c>
      <c r="R34" s="4" t="s">
        <v>1116</v>
      </c>
    </row>
    <row r="35" spans="1:18" ht="82.5" x14ac:dyDescent="0.3">
      <c r="A35" s="4" t="s">
        <v>472</v>
      </c>
      <c r="B35" s="4" t="s">
        <v>473</v>
      </c>
      <c r="C35" s="4" t="s">
        <v>336</v>
      </c>
      <c r="D35" s="4" t="s">
        <v>1081</v>
      </c>
      <c r="E35" s="4" t="s">
        <v>1339</v>
      </c>
      <c r="F35" s="4" t="s">
        <v>1398</v>
      </c>
      <c r="G35" s="4" t="s">
        <v>1341</v>
      </c>
      <c r="H35" s="4" t="s">
        <v>1342</v>
      </c>
      <c r="I35" s="4" t="s">
        <v>1343</v>
      </c>
      <c r="J35" s="4" t="s">
        <v>1344</v>
      </c>
      <c r="K35" s="4" t="s">
        <v>1345</v>
      </c>
      <c r="L35" s="4" t="s">
        <v>1346</v>
      </c>
      <c r="M35" s="4" t="s">
        <v>1336</v>
      </c>
      <c r="N35" s="4" t="s">
        <v>1399</v>
      </c>
      <c r="O35" s="4" t="s">
        <v>339</v>
      </c>
      <c r="P35" s="4" t="s">
        <v>1428</v>
      </c>
      <c r="Q35" s="4" t="s">
        <v>1118</v>
      </c>
      <c r="R35" s="4" t="s">
        <v>1119</v>
      </c>
    </row>
    <row r="36" spans="1:18" ht="66" x14ac:dyDescent="0.3">
      <c r="A36" s="4" t="s">
        <v>477</v>
      </c>
      <c r="B36" s="4" t="s">
        <v>478</v>
      </c>
      <c r="C36" s="4" t="s">
        <v>1328</v>
      </c>
      <c r="D36" s="4" t="s">
        <v>1015</v>
      </c>
      <c r="E36" s="4" t="s">
        <v>1317</v>
      </c>
      <c r="F36" s="4" t="s">
        <v>1318</v>
      </c>
      <c r="G36" s="4" t="s">
        <v>1319</v>
      </c>
      <c r="H36" s="4" t="s">
        <v>1320</v>
      </c>
      <c r="I36" s="4" t="s">
        <v>1321</v>
      </c>
      <c r="J36" s="4" t="s">
        <v>1322</v>
      </c>
      <c r="K36" s="4" t="s">
        <v>1323</v>
      </c>
      <c r="L36" s="4" t="s">
        <v>1324</v>
      </c>
      <c r="M36" s="4" t="s">
        <v>1325</v>
      </c>
      <c r="N36" s="4" t="s">
        <v>1326</v>
      </c>
      <c r="O36" s="4"/>
      <c r="P36" s="4" t="s">
        <v>1429</v>
      </c>
      <c r="Q36" s="4" t="s">
        <v>1122</v>
      </c>
      <c r="R36" s="4" t="s">
        <v>1123</v>
      </c>
    </row>
    <row r="37" spans="1:18" ht="82.5" x14ac:dyDescent="0.3">
      <c r="A37" s="4" t="s">
        <v>483</v>
      </c>
      <c r="B37" s="4" t="s">
        <v>484</v>
      </c>
      <c r="C37" s="4" t="s">
        <v>1328</v>
      </c>
      <c r="D37" s="4" t="s">
        <v>1064</v>
      </c>
      <c r="E37" s="4" t="s">
        <v>1339</v>
      </c>
      <c r="F37" s="4" t="s">
        <v>1410</v>
      </c>
      <c r="G37" s="4" t="s">
        <v>1341</v>
      </c>
      <c r="H37" s="4" t="s">
        <v>1342</v>
      </c>
      <c r="I37" s="4" t="s">
        <v>1343</v>
      </c>
      <c r="J37" s="4" t="s">
        <v>1344</v>
      </c>
      <c r="K37" s="4" t="s">
        <v>1345</v>
      </c>
      <c r="L37" s="4" t="s">
        <v>1346</v>
      </c>
      <c r="M37" s="4" t="s">
        <v>1336</v>
      </c>
      <c r="N37" s="4" t="s">
        <v>1347</v>
      </c>
      <c r="O37" s="4"/>
      <c r="P37" s="4" t="s">
        <v>1430</v>
      </c>
      <c r="Q37" s="4"/>
      <c r="R37" s="4" t="s">
        <v>1125</v>
      </c>
    </row>
    <row r="38" spans="1:18" ht="82.5" x14ac:dyDescent="0.3">
      <c r="A38" s="4" t="s">
        <v>489</v>
      </c>
      <c r="B38" s="4" t="s">
        <v>490</v>
      </c>
      <c r="C38" s="4" t="s">
        <v>336</v>
      </c>
      <c r="D38" s="4" t="s">
        <v>1130</v>
      </c>
      <c r="E38" s="4" t="s">
        <v>1329</v>
      </c>
      <c r="F38" s="4" t="s">
        <v>1431</v>
      </c>
      <c r="G38" s="4" t="s">
        <v>1353</v>
      </c>
      <c r="H38" s="4" t="s">
        <v>1354</v>
      </c>
      <c r="I38" s="4" t="s">
        <v>1355</v>
      </c>
      <c r="J38" s="4" t="s">
        <v>1356</v>
      </c>
      <c r="K38" s="4" t="s">
        <v>1357</v>
      </c>
      <c r="L38" s="4" t="s">
        <v>1358</v>
      </c>
      <c r="M38" s="4" t="s">
        <v>1336</v>
      </c>
      <c r="N38" s="4" t="s">
        <v>1359</v>
      </c>
      <c r="O38" s="4"/>
      <c r="P38" s="4" t="s">
        <v>1432</v>
      </c>
      <c r="Q38" s="4" t="s">
        <v>1127</v>
      </c>
      <c r="R38" s="4" t="s">
        <v>1128</v>
      </c>
    </row>
    <row r="39" spans="1:18" ht="82.5" x14ac:dyDescent="0.3">
      <c r="A39" s="4" t="s">
        <v>500</v>
      </c>
      <c r="B39" s="4" t="s">
        <v>295</v>
      </c>
      <c r="C39" s="4" t="s">
        <v>1328</v>
      </c>
      <c r="D39" s="4" t="s">
        <v>1061</v>
      </c>
      <c r="E39" s="4" t="s">
        <v>1329</v>
      </c>
      <c r="F39" s="4" t="s">
        <v>1386</v>
      </c>
      <c r="G39" s="4" t="s">
        <v>1353</v>
      </c>
      <c r="H39" s="4" t="s">
        <v>1354</v>
      </c>
      <c r="I39" s="4" t="s">
        <v>1355</v>
      </c>
      <c r="J39" s="4" t="s">
        <v>1356</v>
      </c>
      <c r="K39" s="4" t="s">
        <v>1357</v>
      </c>
      <c r="L39" s="4" t="s">
        <v>1358</v>
      </c>
      <c r="M39" s="4" t="s">
        <v>1336</v>
      </c>
      <c r="N39" s="4" t="s">
        <v>1359</v>
      </c>
      <c r="O39" s="4"/>
      <c r="P39" s="4" t="s">
        <v>1433</v>
      </c>
      <c r="Q39" s="4"/>
      <c r="R39" s="4" t="s">
        <v>1131</v>
      </c>
    </row>
    <row r="40" spans="1:18" ht="82.5" x14ac:dyDescent="0.3">
      <c r="A40" s="4" t="s">
        <v>506</v>
      </c>
      <c r="B40" s="4" t="s">
        <v>507</v>
      </c>
      <c r="C40" s="4" t="s">
        <v>336</v>
      </c>
      <c r="D40" s="4" t="s">
        <v>1064</v>
      </c>
      <c r="E40" s="4" t="s">
        <v>1339</v>
      </c>
      <c r="F40" s="4" t="s">
        <v>1398</v>
      </c>
      <c r="G40" s="4" t="s">
        <v>1341</v>
      </c>
      <c r="H40" s="4" t="s">
        <v>1342</v>
      </c>
      <c r="I40" s="4" t="s">
        <v>1343</v>
      </c>
      <c r="J40" s="4" t="s">
        <v>1344</v>
      </c>
      <c r="K40" s="4" t="s">
        <v>1345</v>
      </c>
      <c r="L40" s="4" t="s">
        <v>1346</v>
      </c>
      <c r="M40" s="4" t="s">
        <v>1336</v>
      </c>
      <c r="N40" s="4" t="s">
        <v>1434</v>
      </c>
      <c r="O40" s="4" t="s">
        <v>508</v>
      </c>
      <c r="P40" s="4" t="s">
        <v>1435</v>
      </c>
      <c r="Q40" s="4" t="s">
        <v>1133</v>
      </c>
      <c r="R40" s="4" t="s">
        <v>1134</v>
      </c>
    </row>
    <row r="41" spans="1:18" ht="66" x14ac:dyDescent="0.3">
      <c r="A41" s="4" t="s">
        <v>514</v>
      </c>
      <c r="B41" s="4" t="s">
        <v>515</v>
      </c>
      <c r="C41" s="4" t="s">
        <v>244</v>
      </c>
      <c r="D41" s="4" t="s">
        <v>1027</v>
      </c>
      <c r="E41" s="4" t="s">
        <v>1329</v>
      </c>
      <c r="F41" s="4" t="s">
        <v>1436</v>
      </c>
      <c r="G41" s="4" t="s">
        <v>1437</v>
      </c>
      <c r="H41" s="4" t="s">
        <v>1438</v>
      </c>
      <c r="I41" s="4" t="s">
        <v>1439</v>
      </c>
      <c r="J41" s="4" t="s">
        <v>1440</v>
      </c>
      <c r="K41" s="4" t="s">
        <v>1441</v>
      </c>
      <c r="L41" s="4" t="s">
        <v>1442</v>
      </c>
      <c r="M41" s="4" t="s">
        <v>1336</v>
      </c>
      <c r="N41" s="4" t="s">
        <v>1443</v>
      </c>
      <c r="O41" s="4"/>
      <c r="P41" s="4" t="s">
        <v>1444</v>
      </c>
      <c r="Q41" s="4" t="s">
        <v>1138</v>
      </c>
      <c r="R41" s="4" t="s">
        <v>521</v>
      </c>
    </row>
    <row r="42" spans="1:18" ht="82.5" x14ac:dyDescent="0.3">
      <c r="A42" s="4" t="s">
        <v>523</v>
      </c>
      <c r="B42" s="4" t="s">
        <v>524</v>
      </c>
      <c r="C42" s="4" t="s">
        <v>244</v>
      </c>
      <c r="D42" s="4" t="s">
        <v>1142</v>
      </c>
      <c r="E42" s="4" t="s">
        <v>1329</v>
      </c>
      <c r="F42" s="4" t="s">
        <v>1414</v>
      </c>
      <c r="G42" s="4" t="s">
        <v>1353</v>
      </c>
      <c r="H42" s="4" t="s">
        <v>1354</v>
      </c>
      <c r="I42" s="4" t="s">
        <v>1355</v>
      </c>
      <c r="J42" s="4" t="s">
        <v>1356</v>
      </c>
      <c r="K42" s="4" t="s">
        <v>1357</v>
      </c>
      <c r="L42" s="4" t="s">
        <v>1358</v>
      </c>
      <c r="M42" s="4" t="s">
        <v>1336</v>
      </c>
      <c r="N42" s="4" t="s">
        <v>1445</v>
      </c>
      <c r="O42" s="4" t="s">
        <v>508</v>
      </c>
      <c r="P42" s="4" t="s">
        <v>1446</v>
      </c>
      <c r="Q42" s="4" t="s">
        <v>529</v>
      </c>
      <c r="R42" s="4" t="s">
        <v>1140</v>
      </c>
    </row>
    <row r="43" spans="1:18" ht="66" x14ac:dyDescent="0.3">
      <c r="A43" s="4" t="s">
        <v>532</v>
      </c>
      <c r="B43" s="4" t="s">
        <v>533</v>
      </c>
      <c r="C43" s="4" t="s">
        <v>336</v>
      </c>
      <c r="D43" s="4" t="s">
        <v>1130</v>
      </c>
      <c r="E43" s="4" t="s">
        <v>1317</v>
      </c>
      <c r="F43" s="4" t="s">
        <v>1318</v>
      </c>
      <c r="G43" s="4" t="s">
        <v>1319</v>
      </c>
      <c r="H43" s="4" t="s">
        <v>1320</v>
      </c>
      <c r="I43" s="4" t="s">
        <v>1321</v>
      </c>
      <c r="J43" s="4" t="s">
        <v>1322</v>
      </c>
      <c r="K43" s="4" t="s">
        <v>1323</v>
      </c>
      <c r="L43" s="4" t="s">
        <v>1324</v>
      </c>
      <c r="M43" s="4" t="s">
        <v>1336</v>
      </c>
      <c r="N43" s="4" t="s">
        <v>1447</v>
      </c>
      <c r="O43" s="4" t="s">
        <v>508</v>
      </c>
      <c r="P43" s="4" t="s">
        <v>1448</v>
      </c>
      <c r="Q43" s="4" t="s">
        <v>1143</v>
      </c>
      <c r="R43" s="4" t="s">
        <v>1144</v>
      </c>
    </row>
    <row r="44" spans="1:18" ht="66" x14ac:dyDescent="0.3">
      <c r="A44" s="4" t="s">
        <v>542</v>
      </c>
      <c r="B44" s="4" t="s">
        <v>543</v>
      </c>
      <c r="C44" s="4" t="s">
        <v>154</v>
      </c>
      <c r="D44" s="4" t="s">
        <v>1142</v>
      </c>
      <c r="E44" s="4" t="s">
        <v>1329</v>
      </c>
      <c r="F44" s="4" t="s">
        <v>1352</v>
      </c>
      <c r="G44" s="4" t="s">
        <v>1353</v>
      </c>
      <c r="H44" s="4" t="s">
        <v>1354</v>
      </c>
      <c r="I44" s="4" t="s">
        <v>1355</v>
      </c>
      <c r="J44" s="4" t="s">
        <v>1356</v>
      </c>
      <c r="K44" s="4" t="s">
        <v>1357</v>
      </c>
      <c r="L44" s="4" t="s">
        <v>1358</v>
      </c>
      <c r="M44" s="4" t="s">
        <v>1336</v>
      </c>
      <c r="N44" s="4" t="s">
        <v>1359</v>
      </c>
      <c r="O44" s="4"/>
      <c r="P44" s="4" t="s">
        <v>1449</v>
      </c>
      <c r="Q44" s="4" t="s">
        <v>544</v>
      </c>
      <c r="R44" s="4" t="s">
        <v>1147</v>
      </c>
    </row>
    <row r="45" spans="1:18" ht="82.5" x14ac:dyDescent="0.3">
      <c r="A45" s="4" t="s">
        <v>547</v>
      </c>
      <c r="B45" s="4" t="s">
        <v>548</v>
      </c>
      <c r="C45" s="4" t="s">
        <v>396</v>
      </c>
      <c r="D45" s="4" t="s">
        <v>1142</v>
      </c>
      <c r="E45" s="4" t="s">
        <v>1329</v>
      </c>
      <c r="F45" s="4" t="s">
        <v>1412</v>
      </c>
      <c r="G45" s="4" t="s">
        <v>1353</v>
      </c>
      <c r="H45" s="4" t="s">
        <v>1354</v>
      </c>
      <c r="I45" s="4" t="s">
        <v>1355</v>
      </c>
      <c r="J45" s="4" t="s">
        <v>1356</v>
      </c>
      <c r="K45" s="4" t="s">
        <v>1357</v>
      </c>
      <c r="L45" s="4" t="s">
        <v>1358</v>
      </c>
      <c r="M45" s="4" t="s">
        <v>1336</v>
      </c>
      <c r="N45" s="4" t="s">
        <v>1359</v>
      </c>
      <c r="O45" s="4"/>
      <c r="P45" s="4" t="s">
        <v>1450</v>
      </c>
      <c r="Q45" s="4" t="s">
        <v>544</v>
      </c>
      <c r="R45" s="4" t="s">
        <v>1149</v>
      </c>
    </row>
    <row r="46" spans="1:18" ht="66" x14ac:dyDescent="0.3">
      <c r="A46" s="4" t="s">
        <v>553</v>
      </c>
      <c r="B46" s="4" t="s">
        <v>554</v>
      </c>
      <c r="C46" s="4" t="s">
        <v>154</v>
      </c>
      <c r="D46" s="4" t="s">
        <v>1142</v>
      </c>
      <c r="E46" s="4" t="s">
        <v>1329</v>
      </c>
      <c r="F46" s="4" t="s">
        <v>1352</v>
      </c>
      <c r="G46" s="4" t="s">
        <v>1353</v>
      </c>
      <c r="H46" s="4" t="s">
        <v>1354</v>
      </c>
      <c r="I46" s="4" t="s">
        <v>1355</v>
      </c>
      <c r="J46" s="4" t="s">
        <v>1356</v>
      </c>
      <c r="K46" s="4" t="s">
        <v>1357</v>
      </c>
      <c r="L46" s="4" t="s">
        <v>1358</v>
      </c>
      <c r="M46" s="4" t="s">
        <v>1336</v>
      </c>
      <c r="N46" s="4" t="s">
        <v>1408</v>
      </c>
      <c r="O46" s="4" t="s">
        <v>324</v>
      </c>
      <c r="P46" s="4" t="s">
        <v>1451</v>
      </c>
      <c r="Q46" s="4" t="s">
        <v>1151</v>
      </c>
      <c r="R46" s="4" t="s">
        <v>1152</v>
      </c>
    </row>
    <row r="47" spans="1:18" ht="82.5" x14ac:dyDescent="0.3">
      <c r="A47" s="4" t="s">
        <v>564</v>
      </c>
      <c r="B47" s="4" t="s">
        <v>565</v>
      </c>
      <c r="C47" s="4" t="s">
        <v>336</v>
      </c>
      <c r="D47" s="4" t="s">
        <v>1142</v>
      </c>
      <c r="E47" s="4" t="s">
        <v>1329</v>
      </c>
      <c r="F47" s="4" t="s">
        <v>1431</v>
      </c>
      <c r="G47" s="4" t="s">
        <v>1353</v>
      </c>
      <c r="H47" s="4" t="s">
        <v>1354</v>
      </c>
      <c r="I47" s="4" t="s">
        <v>1355</v>
      </c>
      <c r="J47" s="4" t="s">
        <v>1356</v>
      </c>
      <c r="K47" s="4" t="s">
        <v>1357</v>
      </c>
      <c r="L47" s="4" t="s">
        <v>1358</v>
      </c>
      <c r="M47" s="4" t="s">
        <v>1336</v>
      </c>
      <c r="N47" s="4" t="s">
        <v>1359</v>
      </c>
      <c r="O47" s="4"/>
      <c r="P47" s="4" t="s">
        <v>1452</v>
      </c>
      <c r="Q47" s="4" t="s">
        <v>1154</v>
      </c>
      <c r="R47" s="4" t="s">
        <v>1155</v>
      </c>
    </row>
    <row r="48" spans="1:18" ht="82.5" x14ac:dyDescent="0.3">
      <c r="A48" s="4" t="s">
        <v>571</v>
      </c>
      <c r="B48" s="4" t="s">
        <v>548</v>
      </c>
      <c r="C48" s="4" t="s">
        <v>396</v>
      </c>
      <c r="D48" s="4" t="s">
        <v>1142</v>
      </c>
      <c r="E48" s="4" t="s">
        <v>1329</v>
      </c>
      <c r="F48" s="4" t="s">
        <v>1412</v>
      </c>
      <c r="G48" s="4" t="s">
        <v>1353</v>
      </c>
      <c r="H48" s="4" t="s">
        <v>1354</v>
      </c>
      <c r="I48" s="4" t="s">
        <v>1355</v>
      </c>
      <c r="J48" s="4" t="s">
        <v>1356</v>
      </c>
      <c r="K48" s="4" t="s">
        <v>1357</v>
      </c>
      <c r="L48" s="4" t="s">
        <v>1358</v>
      </c>
      <c r="M48" s="4" t="s">
        <v>1336</v>
      </c>
      <c r="N48" s="4" t="s">
        <v>1453</v>
      </c>
      <c r="O48" s="4" t="s">
        <v>572</v>
      </c>
      <c r="P48" s="4" t="s">
        <v>1454</v>
      </c>
      <c r="Q48" s="4" t="s">
        <v>1157</v>
      </c>
      <c r="R48" s="4" t="s">
        <v>1158</v>
      </c>
    </row>
    <row r="49" spans="1:18" ht="82.5" x14ac:dyDescent="0.3">
      <c r="A49" s="4" t="s">
        <v>580</v>
      </c>
      <c r="B49" s="4" t="s">
        <v>581</v>
      </c>
      <c r="C49" s="4" t="s">
        <v>244</v>
      </c>
      <c r="D49" s="4" t="s">
        <v>1037</v>
      </c>
      <c r="E49" s="4" t="s">
        <v>1317</v>
      </c>
      <c r="F49" s="4" t="s">
        <v>1318</v>
      </c>
      <c r="G49" s="4" t="s">
        <v>1319</v>
      </c>
      <c r="H49" s="4" t="s">
        <v>1320</v>
      </c>
      <c r="I49" s="4" t="s">
        <v>1321</v>
      </c>
      <c r="J49" s="4" t="s">
        <v>1322</v>
      </c>
      <c r="K49" s="4" t="s">
        <v>1323</v>
      </c>
      <c r="L49" s="4" t="s">
        <v>1324</v>
      </c>
      <c r="M49" s="4" t="s">
        <v>1325</v>
      </c>
      <c r="N49" s="4" t="s">
        <v>1363</v>
      </c>
      <c r="O49" s="4" t="s">
        <v>172</v>
      </c>
      <c r="P49" s="4" t="s">
        <v>1455</v>
      </c>
      <c r="Q49" s="4" t="s">
        <v>583</v>
      </c>
      <c r="R49" s="4" t="s">
        <v>1161</v>
      </c>
    </row>
    <row r="50" spans="1:18" ht="82.5" x14ac:dyDescent="0.3">
      <c r="A50" s="4" t="s">
        <v>586</v>
      </c>
      <c r="B50" s="4" t="s">
        <v>587</v>
      </c>
      <c r="C50" s="4" t="s">
        <v>1328</v>
      </c>
      <c r="D50" s="4" t="s">
        <v>1081</v>
      </c>
      <c r="E50" s="4" t="s">
        <v>1329</v>
      </c>
      <c r="F50" s="4" t="s">
        <v>1386</v>
      </c>
      <c r="G50" s="4" t="s">
        <v>1353</v>
      </c>
      <c r="H50" s="4" t="s">
        <v>1354</v>
      </c>
      <c r="I50" s="4" t="s">
        <v>1355</v>
      </c>
      <c r="J50" s="4" t="s">
        <v>1356</v>
      </c>
      <c r="K50" s="4" t="s">
        <v>1357</v>
      </c>
      <c r="L50" s="4" t="s">
        <v>1358</v>
      </c>
      <c r="M50" s="4" t="s">
        <v>1336</v>
      </c>
      <c r="N50" s="4" t="s">
        <v>1359</v>
      </c>
      <c r="O50" s="4"/>
      <c r="P50" s="4" t="s">
        <v>1456</v>
      </c>
      <c r="Q50" s="4" t="s">
        <v>1163</v>
      </c>
      <c r="R50" s="4" t="s">
        <v>1164</v>
      </c>
    </row>
    <row r="51" spans="1:18" ht="82.5" x14ac:dyDescent="0.3">
      <c r="A51" s="4" t="s">
        <v>594</v>
      </c>
      <c r="B51" s="4" t="s">
        <v>595</v>
      </c>
      <c r="C51" s="4" t="s">
        <v>1328</v>
      </c>
      <c r="D51" s="4" t="s">
        <v>1167</v>
      </c>
      <c r="E51" s="4" t="s">
        <v>1339</v>
      </c>
      <c r="F51" s="4" t="s">
        <v>1410</v>
      </c>
      <c r="G51" s="4" t="s">
        <v>1341</v>
      </c>
      <c r="H51" s="4" t="s">
        <v>1342</v>
      </c>
      <c r="I51" s="4" t="s">
        <v>1343</v>
      </c>
      <c r="J51" s="4" t="s">
        <v>1344</v>
      </c>
      <c r="K51" s="4" t="s">
        <v>1345</v>
      </c>
      <c r="L51" s="4" t="s">
        <v>1346</v>
      </c>
      <c r="M51" s="4" t="s">
        <v>1336</v>
      </c>
      <c r="N51" s="4" t="s">
        <v>1347</v>
      </c>
      <c r="O51" s="4"/>
      <c r="P51" s="4" t="s">
        <v>1457</v>
      </c>
      <c r="Q51" s="4" t="s">
        <v>1458</v>
      </c>
      <c r="R51" s="4" t="s">
        <v>1459</v>
      </c>
    </row>
    <row r="52" spans="1:18" ht="82.5" x14ac:dyDescent="0.3">
      <c r="A52" s="4" t="s">
        <v>602</v>
      </c>
      <c r="B52" s="4" t="s">
        <v>603</v>
      </c>
      <c r="C52" s="4" t="s">
        <v>244</v>
      </c>
      <c r="D52" s="4" t="s">
        <v>1130</v>
      </c>
      <c r="E52" s="4" t="s">
        <v>1329</v>
      </c>
      <c r="F52" s="4" t="s">
        <v>1436</v>
      </c>
      <c r="G52" s="4" t="s">
        <v>1437</v>
      </c>
      <c r="H52" s="4" t="s">
        <v>1438</v>
      </c>
      <c r="I52" s="4" t="s">
        <v>1439</v>
      </c>
      <c r="J52" s="4" t="s">
        <v>1440</v>
      </c>
      <c r="K52" s="4" t="s">
        <v>1441</v>
      </c>
      <c r="L52" s="4" t="s">
        <v>1442</v>
      </c>
      <c r="M52" s="4" t="s">
        <v>1336</v>
      </c>
      <c r="N52" s="4" t="s">
        <v>1443</v>
      </c>
      <c r="O52" s="4"/>
      <c r="P52" s="4" t="s">
        <v>1460</v>
      </c>
      <c r="Q52" s="4" t="s">
        <v>1461</v>
      </c>
      <c r="R52" s="4" t="s">
        <v>1462</v>
      </c>
    </row>
    <row r="53" spans="1:18" ht="66" x14ac:dyDescent="0.3">
      <c r="A53" s="4" t="s">
        <v>611</v>
      </c>
      <c r="B53" s="4" t="s">
        <v>255</v>
      </c>
      <c r="C53" s="4" t="s">
        <v>1328</v>
      </c>
      <c r="D53" s="4" t="s">
        <v>1169</v>
      </c>
      <c r="E53" s="4" t="s">
        <v>1365</v>
      </c>
      <c r="F53" s="4" t="s">
        <v>1366</v>
      </c>
      <c r="G53" s="4" t="s">
        <v>1367</v>
      </c>
      <c r="H53" s="4" t="s">
        <v>1368</v>
      </c>
      <c r="I53" s="4" t="s">
        <v>1369</v>
      </c>
      <c r="J53" s="4" t="s">
        <v>1370</v>
      </c>
      <c r="K53" s="4" t="s">
        <v>1371</v>
      </c>
      <c r="L53" s="4" t="s">
        <v>1372</v>
      </c>
      <c r="M53" s="4" t="s">
        <v>1336</v>
      </c>
      <c r="N53" s="4" t="s">
        <v>1373</v>
      </c>
      <c r="O53" s="4"/>
      <c r="P53" s="4" t="s">
        <v>1463</v>
      </c>
      <c r="Q53" s="4" t="s">
        <v>1464</v>
      </c>
      <c r="R53" s="4" t="s">
        <v>615</v>
      </c>
    </row>
    <row r="54" spans="1:18" ht="66" x14ac:dyDescent="0.3">
      <c r="A54" s="4" t="s">
        <v>618</v>
      </c>
      <c r="B54" s="4" t="s">
        <v>360</v>
      </c>
      <c r="C54" s="4" t="s">
        <v>154</v>
      </c>
      <c r="D54" s="4" t="s">
        <v>1050</v>
      </c>
      <c r="E54" s="4" t="s">
        <v>1339</v>
      </c>
      <c r="F54" s="4" t="s">
        <v>1392</v>
      </c>
      <c r="G54" s="4" t="s">
        <v>1341</v>
      </c>
      <c r="H54" s="4" t="s">
        <v>1342</v>
      </c>
      <c r="I54" s="4" t="s">
        <v>1343</v>
      </c>
      <c r="J54" s="4" t="s">
        <v>1344</v>
      </c>
      <c r="K54" s="4" t="s">
        <v>1345</v>
      </c>
      <c r="L54" s="4" t="s">
        <v>1346</v>
      </c>
      <c r="M54" s="4" t="s">
        <v>1336</v>
      </c>
      <c r="N54" s="4" t="s">
        <v>1347</v>
      </c>
      <c r="O54" s="4"/>
      <c r="P54" s="4" t="s">
        <v>1465</v>
      </c>
      <c r="Q54" s="4" t="s">
        <v>1466</v>
      </c>
      <c r="R54" s="4" t="s">
        <v>1467</v>
      </c>
    </row>
    <row r="55" spans="1:18" ht="82.5" x14ac:dyDescent="0.3">
      <c r="A55" s="4" t="s">
        <v>622</v>
      </c>
      <c r="B55" s="4" t="s">
        <v>623</v>
      </c>
      <c r="C55" s="4" t="s">
        <v>184</v>
      </c>
      <c r="D55" s="4" t="s">
        <v>1055</v>
      </c>
      <c r="E55" s="4" t="s">
        <v>1365</v>
      </c>
      <c r="F55" s="4" t="s">
        <v>1366</v>
      </c>
      <c r="G55" s="4" t="s">
        <v>1367</v>
      </c>
      <c r="H55" s="4" t="s">
        <v>1368</v>
      </c>
      <c r="I55" s="4" t="s">
        <v>1369</v>
      </c>
      <c r="J55" s="4" t="s">
        <v>1370</v>
      </c>
      <c r="K55" s="4" t="s">
        <v>1371</v>
      </c>
      <c r="L55" s="4" t="s">
        <v>1372</v>
      </c>
      <c r="M55" s="4" t="s">
        <v>1336</v>
      </c>
      <c r="N55" s="4" t="s">
        <v>1373</v>
      </c>
      <c r="O55" s="4"/>
      <c r="P55" s="4" t="s">
        <v>1468</v>
      </c>
      <c r="Q55" s="4" t="s">
        <v>1469</v>
      </c>
      <c r="R55" s="4" t="s">
        <v>1470</v>
      </c>
    </row>
    <row r="56" spans="1:18" ht="66" x14ac:dyDescent="0.3">
      <c r="A56" s="4" t="s">
        <v>627</v>
      </c>
      <c r="B56" s="4" t="s">
        <v>628</v>
      </c>
      <c r="C56" s="4" t="s">
        <v>396</v>
      </c>
      <c r="D56" s="4" t="s">
        <v>1050</v>
      </c>
      <c r="E56" s="4" t="s">
        <v>1339</v>
      </c>
      <c r="F56" s="4" t="s">
        <v>1471</v>
      </c>
      <c r="G56" s="4" t="s">
        <v>1341</v>
      </c>
      <c r="H56" s="4" t="s">
        <v>1342</v>
      </c>
      <c r="I56" s="4" t="s">
        <v>1343</v>
      </c>
      <c r="J56" s="4" t="s">
        <v>1344</v>
      </c>
      <c r="K56" s="4" t="s">
        <v>1345</v>
      </c>
      <c r="L56" s="4" t="s">
        <v>1346</v>
      </c>
      <c r="M56" s="4" t="s">
        <v>1336</v>
      </c>
      <c r="N56" s="4" t="s">
        <v>1472</v>
      </c>
      <c r="O56" s="4" t="s">
        <v>439</v>
      </c>
      <c r="P56" s="4" t="s">
        <v>1473</v>
      </c>
      <c r="Q56" s="4" t="s">
        <v>1474</v>
      </c>
      <c r="R56" s="4" t="s">
        <v>1475</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8"/>
  <sheetViews>
    <sheetView workbookViewId="0"/>
  </sheetViews>
  <sheetFormatPr defaultRowHeight="16.5" x14ac:dyDescent="0.3"/>
  <cols>
    <col min="1" max="2" width="18" customWidth="1"/>
    <col min="3" max="3" width="16" customWidth="1"/>
    <col min="4" max="9" width="18" customWidth="1"/>
    <col min="10" max="10" width="36" customWidth="1"/>
    <col min="11" max="12" width="18" customWidth="1"/>
  </cols>
  <sheetData>
    <row r="1" spans="1:12" x14ac:dyDescent="0.3">
      <c r="A1" s="9" t="s">
        <v>1476</v>
      </c>
      <c r="B1" s="9" t="s">
        <v>1301</v>
      </c>
      <c r="C1" s="9" t="s">
        <v>1171</v>
      </c>
      <c r="D1" s="9" t="s">
        <v>1477</v>
      </c>
      <c r="E1" s="9" t="s">
        <v>1478</v>
      </c>
      <c r="F1" s="9" t="s">
        <v>1479</v>
      </c>
      <c r="G1" s="9" t="s">
        <v>1480</v>
      </c>
      <c r="H1" s="9" t="s">
        <v>1481</v>
      </c>
      <c r="I1" s="9" t="s">
        <v>1482</v>
      </c>
      <c r="J1" s="9" t="s">
        <v>1173</v>
      </c>
      <c r="K1" s="9" t="s">
        <v>1316</v>
      </c>
      <c r="L1" s="9" t="s">
        <v>1315</v>
      </c>
    </row>
    <row r="2" spans="1:12" ht="66" x14ac:dyDescent="0.3">
      <c r="A2" s="4" t="s">
        <v>638</v>
      </c>
      <c r="B2" s="4" t="s">
        <v>639</v>
      </c>
      <c r="C2" s="4" t="s">
        <v>1175</v>
      </c>
      <c r="D2" s="4" t="s">
        <v>1176</v>
      </c>
      <c r="E2" s="4" t="s">
        <v>1483</v>
      </c>
      <c r="F2" s="4" t="s">
        <v>1484</v>
      </c>
      <c r="G2" s="4" t="s">
        <v>1485</v>
      </c>
      <c r="H2" s="4" t="s">
        <v>1486</v>
      </c>
      <c r="I2" s="4" t="s">
        <v>1487</v>
      </c>
      <c r="J2" s="4" t="s">
        <v>1177</v>
      </c>
      <c r="K2" s="4" t="s">
        <v>645</v>
      </c>
      <c r="L2" s="4" t="s">
        <v>644</v>
      </c>
    </row>
    <row r="3" spans="1:12" ht="82.5" x14ac:dyDescent="0.3">
      <c r="A3" s="4" t="s">
        <v>647</v>
      </c>
      <c r="B3" s="4" t="s">
        <v>648</v>
      </c>
      <c r="C3" s="4" t="s">
        <v>1179</v>
      </c>
      <c r="D3" s="4" t="s">
        <v>425</v>
      </c>
      <c r="E3" s="4" t="s">
        <v>1488</v>
      </c>
      <c r="F3" s="4" t="s">
        <v>1489</v>
      </c>
      <c r="G3" s="4" t="s">
        <v>1490</v>
      </c>
      <c r="H3" s="4" t="s">
        <v>1486</v>
      </c>
      <c r="I3" s="4" t="s">
        <v>1491</v>
      </c>
      <c r="J3" s="4" t="s">
        <v>1180</v>
      </c>
      <c r="K3" s="4" t="s">
        <v>1492</v>
      </c>
      <c r="L3" s="4" t="s">
        <v>651</v>
      </c>
    </row>
    <row r="4" spans="1:12" ht="66" x14ac:dyDescent="0.3">
      <c r="A4" s="4" t="s">
        <v>654</v>
      </c>
      <c r="B4" s="4" t="s">
        <v>655</v>
      </c>
      <c r="C4" s="4" t="s">
        <v>1182</v>
      </c>
      <c r="D4" s="4" t="s">
        <v>1183</v>
      </c>
      <c r="E4" s="4" t="s">
        <v>1493</v>
      </c>
      <c r="F4" s="4" t="s">
        <v>1494</v>
      </c>
      <c r="G4" s="4" t="s">
        <v>1495</v>
      </c>
      <c r="H4" s="4" t="s">
        <v>1486</v>
      </c>
      <c r="I4" s="4" t="s">
        <v>1496</v>
      </c>
      <c r="J4" s="4" t="s">
        <v>1184</v>
      </c>
      <c r="K4" s="4" t="s">
        <v>660</v>
      </c>
      <c r="L4" s="4" t="s">
        <v>659</v>
      </c>
    </row>
    <row r="5" spans="1:12" ht="82.5" x14ac:dyDescent="0.3">
      <c r="A5" s="4" t="s">
        <v>662</v>
      </c>
      <c r="B5" s="4" t="s">
        <v>663</v>
      </c>
      <c r="C5" s="4" t="s">
        <v>1186</v>
      </c>
      <c r="D5" s="4" t="s">
        <v>1187</v>
      </c>
      <c r="E5" s="4" t="s">
        <v>1493</v>
      </c>
      <c r="F5" s="4" t="s">
        <v>1494</v>
      </c>
      <c r="G5" s="4" t="s">
        <v>1495</v>
      </c>
      <c r="H5" s="4" t="s">
        <v>1486</v>
      </c>
      <c r="I5" s="4" t="s">
        <v>1496</v>
      </c>
      <c r="J5" s="4" t="s">
        <v>1188</v>
      </c>
      <c r="K5" s="4" t="s">
        <v>1497</v>
      </c>
      <c r="L5" s="4" t="s">
        <v>665</v>
      </c>
    </row>
    <row r="6" spans="1:12" ht="82.5" x14ac:dyDescent="0.3">
      <c r="A6" s="4" t="s">
        <v>668</v>
      </c>
      <c r="B6" s="4" t="s">
        <v>669</v>
      </c>
      <c r="C6" s="4" t="s">
        <v>1189</v>
      </c>
      <c r="D6" s="4" t="s">
        <v>1190</v>
      </c>
      <c r="E6" s="4" t="s">
        <v>1483</v>
      </c>
      <c r="F6" s="4" t="s">
        <v>1484</v>
      </c>
      <c r="G6" s="4" t="s">
        <v>1485</v>
      </c>
      <c r="H6" s="4" t="s">
        <v>1486</v>
      </c>
      <c r="I6" s="4" t="s">
        <v>1487</v>
      </c>
      <c r="J6" s="4" t="s">
        <v>1177</v>
      </c>
      <c r="K6" s="4" t="s">
        <v>1498</v>
      </c>
      <c r="L6" s="4" t="s">
        <v>644</v>
      </c>
    </row>
    <row r="7" spans="1:12" ht="99" x14ac:dyDescent="0.3">
      <c r="A7" s="4" t="s">
        <v>675</v>
      </c>
      <c r="B7" s="4" t="s">
        <v>676</v>
      </c>
      <c r="C7" s="4" t="s">
        <v>1192</v>
      </c>
      <c r="D7" s="4" t="s">
        <v>1193</v>
      </c>
      <c r="E7" s="4" t="s">
        <v>1499</v>
      </c>
      <c r="F7" s="4" t="s">
        <v>1500</v>
      </c>
      <c r="G7" s="4" t="s">
        <v>1501</v>
      </c>
      <c r="H7" s="4" t="s">
        <v>1486</v>
      </c>
      <c r="I7" s="4" t="s">
        <v>1502</v>
      </c>
      <c r="J7" s="4" t="s">
        <v>1503</v>
      </c>
      <c r="K7" s="4" t="s">
        <v>1504</v>
      </c>
      <c r="L7" s="4" t="s">
        <v>1505</v>
      </c>
    </row>
    <row r="8" spans="1:12" ht="66" x14ac:dyDescent="0.3">
      <c r="A8" s="4" t="s">
        <v>681</v>
      </c>
      <c r="B8" s="4" t="s">
        <v>682</v>
      </c>
      <c r="C8" s="4" t="s">
        <v>1196</v>
      </c>
      <c r="D8" s="4" t="s">
        <v>337</v>
      </c>
      <c r="E8" s="4" t="s">
        <v>1488</v>
      </c>
      <c r="F8" s="4" t="s">
        <v>1489</v>
      </c>
      <c r="G8" s="4" t="s">
        <v>1490</v>
      </c>
      <c r="H8" s="4" t="s">
        <v>1486</v>
      </c>
      <c r="I8" s="4" t="s">
        <v>1491</v>
      </c>
      <c r="J8" s="4" t="s">
        <v>1188</v>
      </c>
      <c r="K8" s="4" t="s">
        <v>684</v>
      </c>
      <c r="L8" s="4" t="s">
        <v>665</v>
      </c>
    </row>
    <row r="9" spans="1:12" ht="99" x14ac:dyDescent="0.3">
      <c r="A9" s="4" t="s">
        <v>687</v>
      </c>
      <c r="B9" s="4" t="s">
        <v>688</v>
      </c>
      <c r="C9" s="4" t="s">
        <v>1197</v>
      </c>
      <c r="D9" s="4" t="s">
        <v>169</v>
      </c>
      <c r="E9" s="4" t="s">
        <v>1483</v>
      </c>
      <c r="F9" s="4" t="s">
        <v>1484</v>
      </c>
      <c r="G9" s="4" t="s">
        <v>1485</v>
      </c>
      <c r="H9" s="4" t="s">
        <v>1486</v>
      </c>
      <c r="I9" s="4" t="s">
        <v>1487</v>
      </c>
      <c r="J9" s="4" t="s">
        <v>1506</v>
      </c>
      <c r="K9" s="4" t="s">
        <v>1507</v>
      </c>
      <c r="L9" s="4" t="s">
        <v>1508</v>
      </c>
    </row>
    <row r="10" spans="1:12" ht="82.5" x14ac:dyDescent="0.3">
      <c r="A10" s="4" t="s">
        <v>694</v>
      </c>
      <c r="B10" s="4" t="s">
        <v>655</v>
      </c>
      <c r="C10" s="4" t="s">
        <v>1200</v>
      </c>
      <c r="D10" s="4" t="s">
        <v>1183</v>
      </c>
      <c r="E10" s="4" t="s">
        <v>1509</v>
      </c>
      <c r="F10" s="4" t="s">
        <v>1510</v>
      </c>
      <c r="G10" s="4" t="s">
        <v>1511</v>
      </c>
      <c r="H10" s="4" t="s">
        <v>1486</v>
      </c>
      <c r="I10" s="4" t="s">
        <v>1512</v>
      </c>
      <c r="J10" s="4" t="s">
        <v>1513</v>
      </c>
      <c r="K10" s="4" t="s">
        <v>697</v>
      </c>
      <c r="L10" s="4" t="s">
        <v>1514</v>
      </c>
    </row>
    <row r="11" spans="1:12" ht="99" x14ac:dyDescent="0.3">
      <c r="A11" s="4" t="s">
        <v>699</v>
      </c>
      <c r="B11" s="4" t="s">
        <v>676</v>
      </c>
      <c r="C11" s="4" t="s">
        <v>1192</v>
      </c>
      <c r="D11" s="4" t="s">
        <v>1203</v>
      </c>
      <c r="E11" s="4" t="s">
        <v>1499</v>
      </c>
      <c r="F11" s="4" t="s">
        <v>1500</v>
      </c>
      <c r="G11" s="4" t="s">
        <v>1501</v>
      </c>
      <c r="H11" s="4" t="s">
        <v>1486</v>
      </c>
      <c r="I11" s="4" t="s">
        <v>1502</v>
      </c>
      <c r="J11" s="4"/>
      <c r="K11" s="4" t="s">
        <v>1515</v>
      </c>
      <c r="L11" s="4" t="s">
        <v>701</v>
      </c>
    </row>
    <row r="12" spans="1:12" ht="82.5" x14ac:dyDescent="0.3">
      <c r="A12" s="4" t="s">
        <v>704</v>
      </c>
      <c r="B12" s="4" t="s">
        <v>663</v>
      </c>
      <c r="C12" s="4" t="s">
        <v>1196</v>
      </c>
      <c r="D12" s="4" t="s">
        <v>1187</v>
      </c>
      <c r="E12" s="4" t="s">
        <v>1488</v>
      </c>
      <c r="F12" s="4" t="s">
        <v>1489</v>
      </c>
      <c r="G12" s="4" t="s">
        <v>1490</v>
      </c>
      <c r="H12" s="4" t="s">
        <v>1486</v>
      </c>
      <c r="I12" s="4" t="s">
        <v>1491</v>
      </c>
      <c r="J12" s="4" t="s">
        <v>1204</v>
      </c>
      <c r="K12" s="4" t="s">
        <v>1516</v>
      </c>
      <c r="L12" s="4" t="s">
        <v>707</v>
      </c>
    </row>
    <row r="13" spans="1:12" ht="115.5" x14ac:dyDescent="0.3">
      <c r="A13" s="4" t="s">
        <v>710</v>
      </c>
      <c r="B13" s="4" t="s">
        <v>711</v>
      </c>
      <c r="C13" s="4" t="s">
        <v>1517</v>
      </c>
      <c r="D13" s="4" t="s">
        <v>1206</v>
      </c>
      <c r="E13" s="4" t="s">
        <v>1488</v>
      </c>
      <c r="F13" s="4" t="s">
        <v>1489</v>
      </c>
      <c r="G13" s="4" t="s">
        <v>1490</v>
      </c>
      <c r="H13" s="4" t="s">
        <v>1486</v>
      </c>
      <c r="I13" s="4" t="s">
        <v>1491</v>
      </c>
      <c r="J13" s="4" t="s">
        <v>1207</v>
      </c>
      <c r="K13" s="4" t="s">
        <v>1518</v>
      </c>
      <c r="L13" s="4" t="s">
        <v>714</v>
      </c>
    </row>
    <row r="14" spans="1:12" ht="66" x14ac:dyDescent="0.3">
      <c r="A14" s="4" t="s">
        <v>717</v>
      </c>
      <c r="B14" s="4" t="s">
        <v>676</v>
      </c>
      <c r="C14" s="4" t="s">
        <v>1208</v>
      </c>
      <c r="D14" s="4" t="s">
        <v>1203</v>
      </c>
      <c r="E14" s="4" t="s">
        <v>1499</v>
      </c>
      <c r="F14" s="4" t="s">
        <v>1500</v>
      </c>
      <c r="G14" s="4" t="s">
        <v>1501</v>
      </c>
      <c r="H14" s="4" t="s">
        <v>1486</v>
      </c>
      <c r="I14" s="4" t="s">
        <v>1502</v>
      </c>
      <c r="J14" s="4"/>
      <c r="K14" s="4" t="s">
        <v>720</v>
      </c>
      <c r="L14" s="4" t="s">
        <v>719</v>
      </c>
    </row>
    <row r="15" spans="1:12" ht="115.5" x14ac:dyDescent="0.3">
      <c r="A15" s="4" t="s">
        <v>722</v>
      </c>
      <c r="B15" s="4" t="s">
        <v>723</v>
      </c>
      <c r="C15" s="4" t="s">
        <v>1209</v>
      </c>
      <c r="D15" s="4" t="s">
        <v>169</v>
      </c>
      <c r="E15" s="4" t="s">
        <v>1488</v>
      </c>
      <c r="F15" s="4" t="s">
        <v>1489</v>
      </c>
      <c r="G15" s="4" t="s">
        <v>1490</v>
      </c>
      <c r="H15" s="4" t="s">
        <v>1486</v>
      </c>
      <c r="I15" s="4" t="s">
        <v>1491</v>
      </c>
      <c r="J15" s="4" t="s">
        <v>1519</v>
      </c>
      <c r="K15" s="4" t="s">
        <v>1520</v>
      </c>
      <c r="L15" s="4" t="s">
        <v>1521</v>
      </c>
    </row>
    <row r="16" spans="1:12" ht="99" x14ac:dyDescent="0.3">
      <c r="A16" s="4" t="s">
        <v>729</v>
      </c>
      <c r="B16" s="4" t="s">
        <v>730</v>
      </c>
      <c r="C16" s="4" t="s">
        <v>1212</v>
      </c>
      <c r="D16" s="4" t="s">
        <v>1213</v>
      </c>
      <c r="E16" s="4" t="s">
        <v>1522</v>
      </c>
      <c r="F16" s="4" t="s">
        <v>1523</v>
      </c>
      <c r="G16" s="4" t="s">
        <v>1524</v>
      </c>
      <c r="H16" s="4" t="s">
        <v>1486</v>
      </c>
      <c r="I16" s="4" t="s">
        <v>1525</v>
      </c>
      <c r="J16" s="4" t="s">
        <v>1207</v>
      </c>
      <c r="K16" s="4" t="s">
        <v>1526</v>
      </c>
      <c r="L16" s="4" t="s">
        <v>714</v>
      </c>
    </row>
    <row r="17" spans="1:12" ht="99" x14ac:dyDescent="0.3">
      <c r="A17" s="4" t="s">
        <v>734</v>
      </c>
      <c r="B17" s="4" t="s">
        <v>735</v>
      </c>
      <c r="C17" s="4" t="s">
        <v>1527</v>
      </c>
      <c r="D17" s="4" t="s">
        <v>1216</v>
      </c>
      <c r="E17" s="4" t="s">
        <v>1499</v>
      </c>
      <c r="F17" s="4" t="s">
        <v>1500</v>
      </c>
      <c r="G17" s="4" t="s">
        <v>1501</v>
      </c>
      <c r="H17" s="4" t="s">
        <v>1486</v>
      </c>
      <c r="I17" s="4" t="s">
        <v>1502</v>
      </c>
      <c r="J17" s="4" t="s">
        <v>1528</v>
      </c>
      <c r="K17" s="4" t="s">
        <v>1529</v>
      </c>
      <c r="L17" s="4" t="s">
        <v>1530</v>
      </c>
    </row>
    <row r="18" spans="1:12" ht="99" x14ac:dyDescent="0.3">
      <c r="A18" s="4" t="s">
        <v>741</v>
      </c>
      <c r="B18" s="4" t="s">
        <v>742</v>
      </c>
      <c r="C18" s="4" t="s">
        <v>1218</v>
      </c>
      <c r="D18" s="4" t="s">
        <v>1219</v>
      </c>
      <c r="E18" s="4" t="s">
        <v>1522</v>
      </c>
      <c r="F18" s="4" t="s">
        <v>1523</v>
      </c>
      <c r="G18" s="4" t="s">
        <v>1524</v>
      </c>
      <c r="H18" s="4" t="s">
        <v>1486</v>
      </c>
      <c r="I18" s="4" t="s">
        <v>1525</v>
      </c>
      <c r="J18" s="4" t="s">
        <v>1531</v>
      </c>
      <c r="K18" s="4" t="s">
        <v>1532</v>
      </c>
      <c r="L18" s="4" t="s">
        <v>1533</v>
      </c>
    </row>
    <row r="19" spans="1:12" ht="82.5" x14ac:dyDescent="0.3">
      <c r="A19" s="4" t="s">
        <v>749</v>
      </c>
      <c r="B19" s="4" t="s">
        <v>637</v>
      </c>
      <c r="C19" s="4" t="s">
        <v>1221</v>
      </c>
      <c r="D19" s="4" t="s">
        <v>1222</v>
      </c>
      <c r="E19" s="4" t="s">
        <v>1221</v>
      </c>
      <c r="F19" s="4" t="s">
        <v>1181</v>
      </c>
      <c r="G19" s="4" t="s">
        <v>1534</v>
      </c>
      <c r="H19" s="4" t="s">
        <v>1535</v>
      </c>
      <c r="I19" s="4" t="s">
        <v>1536</v>
      </c>
      <c r="J19" s="4" t="s">
        <v>1537</v>
      </c>
      <c r="K19" s="4" t="s">
        <v>752</v>
      </c>
      <c r="L19" s="4" t="s">
        <v>1538</v>
      </c>
    </row>
    <row r="20" spans="1:12" ht="66" x14ac:dyDescent="0.3">
      <c r="A20" s="4" t="s">
        <v>754</v>
      </c>
      <c r="B20" s="4" t="s">
        <v>755</v>
      </c>
      <c r="C20" s="4" t="s">
        <v>1175</v>
      </c>
      <c r="D20" s="4" t="s">
        <v>1224</v>
      </c>
      <c r="E20" s="4" t="s">
        <v>1488</v>
      </c>
      <c r="F20" s="4" t="s">
        <v>1489</v>
      </c>
      <c r="G20" s="4" t="s">
        <v>1490</v>
      </c>
      <c r="H20" s="4" t="s">
        <v>1486</v>
      </c>
      <c r="I20" s="4" t="s">
        <v>1491</v>
      </c>
      <c r="J20" s="4" t="s">
        <v>1177</v>
      </c>
      <c r="K20" s="4" t="s">
        <v>757</v>
      </c>
      <c r="L20" s="4" t="s">
        <v>644</v>
      </c>
    </row>
    <row r="21" spans="1:12" ht="66" x14ac:dyDescent="0.3">
      <c r="A21" s="4" t="s">
        <v>759</v>
      </c>
      <c r="B21" s="4" t="s">
        <v>682</v>
      </c>
      <c r="C21" s="4" t="s">
        <v>1196</v>
      </c>
      <c r="D21" s="4" t="s">
        <v>337</v>
      </c>
      <c r="E21" s="4" t="s">
        <v>1488</v>
      </c>
      <c r="F21" s="4" t="s">
        <v>1489</v>
      </c>
      <c r="G21" s="4" t="s">
        <v>1490</v>
      </c>
      <c r="H21" s="4" t="s">
        <v>1486</v>
      </c>
      <c r="I21" s="4" t="s">
        <v>1491</v>
      </c>
      <c r="J21" s="4" t="s">
        <v>1188</v>
      </c>
      <c r="K21" s="4" t="s">
        <v>761</v>
      </c>
      <c r="L21" s="4" t="s">
        <v>665</v>
      </c>
    </row>
    <row r="22" spans="1:12" ht="82.5" x14ac:dyDescent="0.3">
      <c r="A22" s="4" t="s">
        <v>763</v>
      </c>
      <c r="B22" s="4" t="s">
        <v>764</v>
      </c>
      <c r="C22" s="4" t="s">
        <v>1225</v>
      </c>
      <c r="D22" s="4" t="s">
        <v>1226</v>
      </c>
      <c r="E22" s="4" t="s">
        <v>1539</v>
      </c>
      <c r="F22" s="4" t="s">
        <v>1540</v>
      </c>
      <c r="G22" s="4" t="s">
        <v>1541</v>
      </c>
      <c r="H22" s="4" t="s">
        <v>1486</v>
      </c>
      <c r="I22" s="4" t="s">
        <v>1542</v>
      </c>
      <c r="J22" s="4" t="s">
        <v>1543</v>
      </c>
      <c r="K22" s="4" t="s">
        <v>1544</v>
      </c>
      <c r="L22" s="4" t="s">
        <v>1545</v>
      </c>
    </row>
    <row r="23" spans="1:12" ht="82.5" x14ac:dyDescent="0.3">
      <c r="A23" s="4" t="s">
        <v>770</v>
      </c>
      <c r="B23" s="4" t="s">
        <v>771</v>
      </c>
      <c r="C23" s="4" t="s">
        <v>1225</v>
      </c>
      <c r="D23" s="4" t="s">
        <v>1229</v>
      </c>
      <c r="E23" s="4" t="s">
        <v>1539</v>
      </c>
      <c r="F23" s="4" t="s">
        <v>1540</v>
      </c>
      <c r="G23" s="4" t="s">
        <v>1541</v>
      </c>
      <c r="H23" s="4" t="s">
        <v>1486</v>
      </c>
      <c r="I23" s="4" t="s">
        <v>1542</v>
      </c>
      <c r="J23" s="4"/>
      <c r="K23" s="4" t="s">
        <v>1546</v>
      </c>
      <c r="L23" s="4" t="s">
        <v>774</v>
      </c>
    </row>
    <row r="24" spans="1:12" ht="82.5" x14ac:dyDescent="0.3">
      <c r="A24" s="4" t="s">
        <v>777</v>
      </c>
      <c r="B24" s="4" t="s">
        <v>778</v>
      </c>
      <c r="C24" s="4" t="s">
        <v>1186</v>
      </c>
      <c r="D24" s="4" t="s">
        <v>1230</v>
      </c>
      <c r="E24" s="4" t="s">
        <v>1493</v>
      </c>
      <c r="F24" s="4" t="s">
        <v>1494</v>
      </c>
      <c r="G24" s="4" t="s">
        <v>1495</v>
      </c>
      <c r="H24" s="4" t="s">
        <v>1486</v>
      </c>
      <c r="I24" s="4" t="s">
        <v>1496</v>
      </c>
      <c r="J24" s="4" t="s">
        <v>1177</v>
      </c>
      <c r="K24" s="4" t="s">
        <v>1547</v>
      </c>
      <c r="L24" s="4" t="s">
        <v>644</v>
      </c>
    </row>
    <row r="25" spans="1:12" ht="82.5" x14ac:dyDescent="0.3">
      <c r="A25" s="4" t="s">
        <v>782</v>
      </c>
      <c r="B25" s="4" t="s">
        <v>755</v>
      </c>
      <c r="C25" s="4" t="s">
        <v>1200</v>
      </c>
      <c r="D25" s="4" t="s">
        <v>1224</v>
      </c>
      <c r="E25" s="4" t="s">
        <v>1509</v>
      </c>
      <c r="F25" s="4" t="s">
        <v>1510</v>
      </c>
      <c r="G25" s="4" t="s">
        <v>1511</v>
      </c>
      <c r="H25" s="4" t="s">
        <v>1486</v>
      </c>
      <c r="I25" s="4" t="s">
        <v>1512</v>
      </c>
      <c r="J25" s="4" t="s">
        <v>1548</v>
      </c>
      <c r="K25" s="4" t="s">
        <v>784</v>
      </c>
      <c r="L25" s="4" t="s">
        <v>1549</v>
      </c>
    </row>
    <row r="26" spans="1:12" ht="82.5" x14ac:dyDescent="0.3">
      <c r="A26" s="4" t="s">
        <v>786</v>
      </c>
      <c r="B26" s="4" t="s">
        <v>787</v>
      </c>
      <c r="C26" s="4" t="s">
        <v>1208</v>
      </c>
      <c r="D26" s="4" t="s">
        <v>1222</v>
      </c>
      <c r="E26" s="4" t="s">
        <v>1499</v>
      </c>
      <c r="F26" s="4" t="s">
        <v>1500</v>
      </c>
      <c r="G26" s="4" t="s">
        <v>1501</v>
      </c>
      <c r="H26" s="4" t="s">
        <v>1486</v>
      </c>
      <c r="I26" s="4" t="s">
        <v>1502</v>
      </c>
      <c r="J26" s="4" t="s">
        <v>1177</v>
      </c>
      <c r="K26" s="4" t="s">
        <v>1550</v>
      </c>
      <c r="L26" s="4" t="s">
        <v>644</v>
      </c>
    </row>
    <row r="27" spans="1:12" ht="82.5" x14ac:dyDescent="0.3">
      <c r="A27" s="4" t="s">
        <v>791</v>
      </c>
      <c r="B27" s="4" t="s">
        <v>637</v>
      </c>
      <c r="C27" s="4" t="s">
        <v>1175</v>
      </c>
      <c r="D27" s="4" t="s">
        <v>1222</v>
      </c>
      <c r="E27" s="4" t="s">
        <v>1488</v>
      </c>
      <c r="F27" s="4" t="s">
        <v>1489</v>
      </c>
      <c r="G27" s="4" t="s">
        <v>1490</v>
      </c>
      <c r="H27" s="4" t="s">
        <v>1486</v>
      </c>
      <c r="I27" s="4" t="s">
        <v>1491</v>
      </c>
      <c r="J27" s="4" t="s">
        <v>1551</v>
      </c>
      <c r="K27" s="4" t="s">
        <v>794</v>
      </c>
      <c r="L27" s="4" t="s">
        <v>1552</v>
      </c>
    </row>
    <row r="28" spans="1:12" ht="99" x14ac:dyDescent="0.3">
      <c r="A28" s="4" t="s">
        <v>796</v>
      </c>
      <c r="B28" s="4" t="s">
        <v>637</v>
      </c>
      <c r="C28" s="4" t="s">
        <v>1233</v>
      </c>
      <c r="D28" s="4" t="s">
        <v>1222</v>
      </c>
      <c r="E28" s="4" t="s">
        <v>1488</v>
      </c>
      <c r="F28" s="4" t="s">
        <v>1489</v>
      </c>
      <c r="G28" s="4" t="s">
        <v>1490</v>
      </c>
      <c r="H28" s="4" t="s">
        <v>1486</v>
      </c>
      <c r="I28" s="4" t="s">
        <v>1491</v>
      </c>
      <c r="J28" s="4" t="s">
        <v>1177</v>
      </c>
      <c r="K28" s="4" t="s">
        <v>1553</v>
      </c>
      <c r="L28" s="4" t="s">
        <v>644</v>
      </c>
    </row>
    <row r="29" spans="1:12" ht="66" x14ac:dyDescent="0.3">
      <c r="A29" s="4" t="s">
        <v>800</v>
      </c>
      <c r="B29" s="4" t="s">
        <v>682</v>
      </c>
      <c r="C29" s="4" t="s">
        <v>1234</v>
      </c>
      <c r="D29" s="4" t="s">
        <v>337</v>
      </c>
      <c r="E29" s="4" t="s">
        <v>1488</v>
      </c>
      <c r="F29" s="4" t="s">
        <v>1489</v>
      </c>
      <c r="G29" s="4" t="s">
        <v>1490</v>
      </c>
      <c r="H29" s="4" t="s">
        <v>1486</v>
      </c>
      <c r="I29" s="4" t="s">
        <v>1491</v>
      </c>
      <c r="J29" s="4" t="s">
        <v>1188</v>
      </c>
      <c r="K29" s="4" t="s">
        <v>802</v>
      </c>
      <c r="L29" s="4" t="s">
        <v>665</v>
      </c>
    </row>
    <row r="30" spans="1:12" ht="99" x14ac:dyDescent="0.3">
      <c r="A30" s="4" t="s">
        <v>804</v>
      </c>
      <c r="B30" s="4" t="s">
        <v>805</v>
      </c>
      <c r="C30" s="4" t="s">
        <v>1235</v>
      </c>
      <c r="D30" s="4" t="s">
        <v>298</v>
      </c>
      <c r="E30" s="4" t="s">
        <v>1539</v>
      </c>
      <c r="F30" s="4" t="s">
        <v>1540</v>
      </c>
      <c r="G30" s="4" t="s">
        <v>1541</v>
      </c>
      <c r="H30" s="4" t="s">
        <v>1486</v>
      </c>
      <c r="I30" s="4" t="s">
        <v>1542</v>
      </c>
      <c r="J30" s="4"/>
      <c r="K30" s="4" t="s">
        <v>1554</v>
      </c>
      <c r="L30" s="4" t="s">
        <v>807</v>
      </c>
    </row>
    <row r="31" spans="1:12" ht="99" x14ac:dyDescent="0.3">
      <c r="A31" s="4" t="s">
        <v>810</v>
      </c>
      <c r="B31" s="4" t="s">
        <v>805</v>
      </c>
      <c r="C31" s="4" t="s">
        <v>1236</v>
      </c>
      <c r="D31" s="4" t="s">
        <v>298</v>
      </c>
      <c r="E31" s="4" t="s">
        <v>1539</v>
      </c>
      <c r="F31" s="4" t="s">
        <v>1540</v>
      </c>
      <c r="G31" s="4" t="s">
        <v>1541</v>
      </c>
      <c r="H31" s="4" t="s">
        <v>1486</v>
      </c>
      <c r="I31" s="4" t="s">
        <v>1542</v>
      </c>
      <c r="J31" s="4"/>
      <c r="K31" s="4" t="s">
        <v>1555</v>
      </c>
      <c r="L31" s="4" t="s">
        <v>1556</v>
      </c>
    </row>
    <row r="32" spans="1:12" ht="82.5" x14ac:dyDescent="0.3">
      <c r="A32" s="4" t="s">
        <v>814</v>
      </c>
      <c r="B32" s="4" t="s">
        <v>805</v>
      </c>
      <c r="C32" s="4" t="s">
        <v>1225</v>
      </c>
      <c r="D32" s="4" t="s">
        <v>1237</v>
      </c>
      <c r="E32" s="4" t="s">
        <v>1539</v>
      </c>
      <c r="F32" s="4" t="s">
        <v>1540</v>
      </c>
      <c r="G32" s="4" t="s">
        <v>1541</v>
      </c>
      <c r="H32" s="4" t="s">
        <v>1486</v>
      </c>
      <c r="I32" s="4" t="s">
        <v>1542</v>
      </c>
      <c r="J32" s="4"/>
      <c r="K32" s="4" t="s">
        <v>1557</v>
      </c>
      <c r="L32" s="4" t="s">
        <v>807</v>
      </c>
    </row>
    <row r="33" spans="1:12" ht="82.5" x14ac:dyDescent="0.3">
      <c r="A33" s="4" t="s">
        <v>817</v>
      </c>
      <c r="B33" s="4" t="s">
        <v>805</v>
      </c>
      <c r="C33" s="4" t="s">
        <v>1225</v>
      </c>
      <c r="D33" s="4" t="s">
        <v>1237</v>
      </c>
      <c r="E33" s="4" t="s">
        <v>1539</v>
      </c>
      <c r="F33" s="4" t="s">
        <v>1540</v>
      </c>
      <c r="G33" s="4" t="s">
        <v>1541</v>
      </c>
      <c r="H33" s="4" t="s">
        <v>1486</v>
      </c>
      <c r="I33" s="4" t="s">
        <v>1542</v>
      </c>
      <c r="J33" s="4"/>
      <c r="K33" s="4" t="s">
        <v>1558</v>
      </c>
      <c r="L33" s="4" t="s">
        <v>1559</v>
      </c>
    </row>
    <row r="34" spans="1:12" ht="99" x14ac:dyDescent="0.3">
      <c r="A34" s="4" t="s">
        <v>823</v>
      </c>
      <c r="B34" s="4" t="s">
        <v>755</v>
      </c>
      <c r="C34" s="4" t="s">
        <v>1238</v>
      </c>
      <c r="D34" s="4" t="s">
        <v>1224</v>
      </c>
      <c r="E34" s="4" t="s">
        <v>1499</v>
      </c>
      <c r="F34" s="4" t="s">
        <v>1500</v>
      </c>
      <c r="G34" s="4" t="s">
        <v>1501</v>
      </c>
      <c r="H34" s="4" t="s">
        <v>1486</v>
      </c>
      <c r="I34" s="4" t="s">
        <v>1502</v>
      </c>
      <c r="J34" s="4"/>
      <c r="K34" s="4" t="s">
        <v>1560</v>
      </c>
      <c r="L34" s="4" t="s">
        <v>651</v>
      </c>
    </row>
    <row r="35" spans="1:12" ht="82.5" x14ac:dyDescent="0.3">
      <c r="A35" s="4" t="s">
        <v>827</v>
      </c>
      <c r="B35" s="4" t="s">
        <v>663</v>
      </c>
      <c r="C35" s="4" t="s">
        <v>1196</v>
      </c>
      <c r="D35" s="4" t="s">
        <v>1187</v>
      </c>
      <c r="E35" s="4" t="s">
        <v>1488</v>
      </c>
      <c r="F35" s="4" t="s">
        <v>1489</v>
      </c>
      <c r="G35" s="4" t="s">
        <v>1490</v>
      </c>
      <c r="H35" s="4" t="s">
        <v>1486</v>
      </c>
      <c r="I35" s="4" t="s">
        <v>1491</v>
      </c>
      <c r="J35" s="4" t="s">
        <v>1188</v>
      </c>
      <c r="K35" s="4" t="s">
        <v>1561</v>
      </c>
      <c r="L35" s="4" t="s">
        <v>665</v>
      </c>
    </row>
    <row r="36" spans="1:12" ht="99" x14ac:dyDescent="0.3">
      <c r="A36" s="4" t="s">
        <v>832</v>
      </c>
      <c r="B36" s="4" t="s">
        <v>833</v>
      </c>
      <c r="C36" s="4" t="s">
        <v>1239</v>
      </c>
      <c r="D36" s="4" t="s">
        <v>1240</v>
      </c>
      <c r="E36" s="4" t="s">
        <v>1499</v>
      </c>
      <c r="F36" s="4" t="s">
        <v>1500</v>
      </c>
      <c r="G36" s="4" t="s">
        <v>1501</v>
      </c>
      <c r="H36" s="4" t="s">
        <v>1486</v>
      </c>
      <c r="I36" s="4" t="s">
        <v>1502</v>
      </c>
      <c r="J36" s="4" t="s">
        <v>1562</v>
      </c>
      <c r="K36" s="4" t="s">
        <v>836</v>
      </c>
      <c r="L36" s="4" t="s">
        <v>1563</v>
      </c>
    </row>
    <row r="37" spans="1:12" ht="82.5" x14ac:dyDescent="0.3">
      <c r="A37" s="4" t="s">
        <v>838</v>
      </c>
      <c r="B37" s="4" t="s">
        <v>805</v>
      </c>
      <c r="C37" s="4" t="s">
        <v>1225</v>
      </c>
      <c r="D37" s="4" t="s">
        <v>1237</v>
      </c>
      <c r="E37" s="4" t="s">
        <v>1539</v>
      </c>
      <c r="F37" s="4" t="s">
        <v>1540</v>
      </c>
      <c r="G37" s="4" t="s">
        <v>1541</v>
      </c>
      <c r="H37" s="4" t="s">
        <v>1486</v>
      </c>
      <c r="I37" s="4" t="s">
        <v>1542</v>
      </c>
      <c r="J37" s="4"/>
      <c r="K37" s="4" t="s">
        <v>1564</v>
      </c>
      <c r="L37" s="4" t="s">
        <v>807</v>
      </c>
    </row>
    <row r="38" spans="1:12" ht="82.5" x14ac:dyDescent="0.3">
      <c r="A38" s="4" t="s">
        <v>842</v>
      </c>
      <c r="B38" s="4" t="s">
        <v>805</v>
      </c>
      <c r="C38" s="4" t="s">
        <v>1236</v>
      </c>
      <c r="D38" s="4" t="s">
        <v>298</v>
      </c>
      <c r="E38" s="4" t="s">
        <v>1539</v>
      </c>
      <c r="F38" s="4" t="s">
        <v>1540</v>
      </c>
      <c r="G38" s="4" t="s">
        <v>1541</v>
      </c>
      <c r="H38" s="4" t="s">
        <v>1486</v>
      </c>
      <c r="I38" s="4" t="s">
        <v>1542</v>
      </c>
      <c r="J38" s="4"/>
      <c r="K38" s="4" t="s">
        <v>1565</v>
      </c>
      <c r="L38" s="4" t="s">
        <v>807</v>
      </c>
    </row>
    <row r="39" spans="1:12" ht="82.5" x14ac:dyDescent="0.3">
      <c r="A39" s="4" t="s">
        <v>846</v>
      </c>
      <c r="B39" s="4" t="s">
        <v>805</v>
      </c>
      <c r="C39" s="4" t="s">
        <v>1225</v>
      </c>
      <c r="D39" s="4" t="s">
        <v>1229</v>
      </c>
      <c r="E39" s="4" t="s">
        <v>1539</v>
      </c>
      <c r="F39" s="4" t="s">
        <v>1540</v>
      </c>
      <c r="G39" s="4" t="s">
        <v>1541</v>
      </c>
      <c r="H39" s="4" t="s">
        <v>1486</v>
      </c>
      <c r="I39" s="4" t="s">
        <v>1542</v>
      </c>
      <c r="J39" s="4"/>
      <c r="K39" s="4" t="s">
        <v>1566</v>
      </c>
      <c r="L39" s="4" t="s">
        <v>807</v>
      </c>
    </row>
    <row r="40" spans="1:12" ht="82.5" x14ac:dyDescent="0.3">
      <c r="A40" s="4" t="s">
        <v>850</v>
      </c>
      <c r="B40" s="4" t="s">
        <v>805</v>
      </c>
      <c r="C40" s="4" t="s">
        <v>1567</v>
      </c>
      <c r="D40" s="4" t="s">
        <v>298</v>
      </c>
      <c r="E40" s="4" t="s">
        <v>1539</v>
      </c>
      <c r="F40" s="4" t="s">
        <v>1540</v>
      </c>
      <c r="G40" s="4" t="s">
        <v>1541</v>
      </c>
      <c r="H40" s="4" t="s">
        <v>1486</v>
      </c>
      <c r="I40" s="4" t="s">
        <v>1542</v>
      </c>
      <c r="J40" s="4"/>
      <c r="K40" s="4" t="s">
        <v>1568</v>
      </c>
      <c r="L40" s="4" t="s">
        <v>807</v>
      </c>
    </row>
    <row r="41" spans="1:12" ht="99" x14ac:dyDescent="0.3">
      <c r="A41" s="4" t="s">
        <v>854</v>
      </c>
      <c r="B41" s="4" t="s">
        <v>676</v>
      </c>
      <c r="C41" s="4" t="s">
        <v>1192</v>
      </c>
      <c r="D41" s="4" t="s">
        <v>1203</v>
      </c>
      <c r="E41" s="4" t="s">
        <v>1499</v>
      </c>
      <c r="F41" s="4" t="s">
        <v>1500</v>
      </c>
      <c r="G41" s="4" t="s">
        <v>1501</v>
      </c>
      <c r="H41" s="4" t="s">
        <v>1486</v>
      </c>
      <c r="I41" s="4" t="s">
        <v>1502</v>
      </c>
      <c r="J41" s="4"/>
      <c r="K41" s="4" t="s">
        <v>857</v>
      </c>
      <c r="L41" s="4" t="s">
        <v>1569</v>
      </c>
    </row>
    <row r="42" spans="1:12" ht="115.5" x14ac:dyDescent="0.3">
      <c r="A42" s="4" t="s">
        <v>859</v>
      </c>
      <c r="B42" s="4" t="s">
        <v>860</v>
      </c>
      <c r="C42" s="4" t="s">
        <v>1570</v>
      </c>
      <c r="D42" s="4" t="s">
        <v>1244</v>
      </c>
      <c r="E42" s="4" t="s">
        <v>1539</v>
      </c>
      <c r="F42" s="4" t="s">
        <v>1540</v>
      </c>
      <c r="G42" s="4" t="s">
        <v>1541</v>
      </c>
      <c r="H42" s="4" t="s">
        <v>1486</v>
      </c>
      <c r="I42" s="4" t="s">
        <v>1542</v>
      </c>
      <c r="J42" s="4"/>
      <c r="K42" s="4" t="s">
        <v>1571</v>
      </c>
      <c r="L42" s="4" t="s">
        <v>862</v>
      </c>
    </row>
    <row r="43" spans="1:12" ht="82.5" x14ac:dyDescent="0.3">
      <c r="A43" s="4" t="s">
        <v>865</v>
      </c>
      <c r="B43" s="4" t="s">
        <v>637</v>
      </c>
      <c r="C43" s="4" t="s">
        <v>1186</v>
      </c>
      <c r="D43" s="4" t="s">
        <v>1222</v>
      </c>
      <c r="E43" s="4" t="s">
        <v>1493</v>
      </c>
      <c r="F43" s="4" t="s">
        <v>1494</v>
      </c>
      <c r="G43" s="4" t="s">
        <v>1495</v>
      </c>
      <c r="H43" s="4" t="s">
        <v>1486</v>
      </c>
      <c r="I43" s="4" t="s">
        <v>1496</v>
      </c>
      <c r="J43" s="4" t="s">
        <v>1177</v>
      </c>
      <c r="K43" s="4" t="s">
        <v>1572</v>
      </c>
      <c r="L43" s="4" t="s">
        <v>644</v>
      </c>
    </row>
    <row r="44" spans="1:12" ht="82.5" x14ac:dyDescent="0.3">
      <c r="A44" s="4" t="s">
        <v>868</v>
      </c>
      <c r="B44" s="4" t="s">
        <v>778</v>
      </c>
      <c r="C44" s="4" t="s">
        <v>1179</v>
      </c>
      <c r="D44" s="4" t="s">
        <v>336</v>
      </c>
      <c r="E44" s="4" t="s">
        <v>1488</v>
      </c>
      <c r="F44" s="4" t="s">
        <v>1489</v>
      </c>
      <c r="G44" s="4" t="s">
        <v>1490</v>
      </c>
      <c r="H44" s="4" t="s">
        <v>1486</v>
      </c>
      <c r="I44" s="4" t="s">
        <v>1491</v>
      </c>
      <c r="J44" s="4" t="s">
        <v>1245</v>
      </c>
      <c r="K44" s="4" t="s">
        <v>1573</v>
      </c>
      <c r="L44" s="4" t="s">
        <v>651</v>
      </c>
    </row>
    <row r="45" spans="1:12" ht="82.5" x14ac:dyDescent="0.3">
      <c r="A45" s="4" t="s">
        <v>872</v>
      </c>
      <c r="B45" s="4" t="s">
        <v>805</v>
      </c>
      <c r="C45" s="4" t="s">
        <v>1225</v>
      </c>
      <c r="D45" s="4" t="s">
        <v>1237</v>
      </c>
      <c r="E45" s="4" t="s">
        <v>1539</v>
      </c>
      <c r="F45" s="4" t="s">
        <v>1540</v>
      </c>
      <c r="G45" s="4" t="s">
        <v>1541</v>
      </c>
      <c r="H45" s="4" t="s">
        <v>1486</v>
      </c>
      <c r="I45" s="4" t="s">
        <v>1542</v>
      </c>
      <c r="J45" s="4"/>
      <c r="K45" s="4" t="s">
        <v>1574</v>
      </c>
      <c r="L45" s="4" t="s">
        <v>1559</v>
      </c>
    </row>
    <row r="46" spans="1:12" ht="66" x14ac:dyDescent="0.3">
      <c r="A46" s="4" t="s">
        <v>876</v>
      </c>
      <c r="B46" s="4" t="s">
        <v>778</v>
      </c>
      <c r="C46" s="4" t="s">
        <v>1175</v>
      </c>
      <c r="D46" s="4" t="s">
        <v>1230</v>
      </c>
      <c r="E46" s="4" t="s">
        <v>1488</v>
      </c>
      <c r="F46" s="4" t="s">
        <v>1489</v>
      </c>
      <c r="G46" s="4" t="s">
        <v>1490</v>
      </c>
      <c r="H46" s="4" t="s">
        <v>1486</v>
      </c>
      <c r="I46" s="4" t="s">
        <v>1491</v>
      </c>
      <c r="J46" s="4" t="s">
        <v>1177</v>
      </c>
      <c r="K46" s="4" t="s">
        <v>878</v>
      </c>
      <c r="L46" s="4" t="s">
        <v>644</v>
      </c>
    </row>
    <row r="47" spans="1:12" ht="66" x14ac:dyDescent="0.3">
      <c r="A47" s="4" t="s">
        <v>880</v>
      </c>
      <c r="B47" s="4" t="s">
        <v>881</v>
      </c>
      <c r="C47" s="4" t="s">
        <v>1175</v>
      </c>
      <c r="D47" s="4" t="s">
        <v>1246</v>
      </c>
      <c r="E47" s="4" t="s">
        <v>1488</v>
      </c>
      <c r="F47" s="4" t="s">
        <v>1489</v>
      </c>
      <c r="G47" s="4" t="s">
        <v>1490</v>
      </c>
      <c r="H47" s="4" t="s">
        <v>1486</v>
      </c>
      <c r="I47" s="4" t="s">
        <v>1491</v>
      </c>
      <c r="J47" s="4" t="s">
        <v>1177</v>
      </c>
      <c r="K47" s="4" t="s">
        <v>883</v>
      </c>
      <c r="L47" s="4" t="s">
        <v>644</v>
      </c>
    </row>
    <row r="48" spans="1:12" ht="82.5" x14ac:dyDescent="0.3">
      <c r="A48" s="4" t="s">
        <v>885</v>
      </c>
      <c r="B48" s="4" t="s">
        <v>755</v>
      </c>
      <c r="C48" s="4" t="s">
        <v>1182</v>
      </c>
      <c r="D48" s="4" t="s">
        <v>396</v>
      </c>
      <c r="E48" s="4" t="s">
        <v>1522</v>
      </c>
      <c r="F48" s="4" t="s">
        <v>1523</v>
      </c>
      <c r="G48" s="4" t="s">
        <v>1524</v>
      </c>
      <c r="H48" s="4" t="s">
        <v>1486</v>
      </c>
      <c r="I48" s="4" t="s">
        <v>1525</v>
      </c>
      <c r="J48" s="4"/>
      <c r="K48" s="4" t="s">
        <v>1575</v>
      </c>
      <c r="L48" s="4" t="s">
        <v>1576</v>
      </c>
    </row>
    <row r="49" spans="1:12" ht="82.5" x14ac:dyDescent="0.3">
      <c r="A49" s="4" t="s">
        <v>890</v>
      </c>
      <c r="B49" s="4" t="s">
        <v>655</v>
      </c>
      <c r="C49" s="4" t="s">
        <v>1247</v>
      </c>
      <c r="D49" s="4" t="s">
        <v>1183</v>
      </c>
      <c r="E49" s="4" t="s">
        <v>1509</v>
      </c>
      <c r="F49" s="4" t="s">
        <v>1510</v>
      </c>
      <c r="G49" s="4" t="s">
        <v>1511</v>
      </c>
      <c r="H49" s="4" t="s">
        <v>1486</v>
      </c>
      <c r="I49" s="4" t="s">
        <v>1512</v>
      </c>
      <c r="J49" s="4" t="s">
        <v>1177</v>
      </c>
      <c r="K49" s="4" t="s">
        <v>1577</v>
      </c>
      <c r="L49" s="4" t="s">
        <v>644</v>
      </c>
    </row>
    <row r="50" spans="1:12" ht="82.5" x14ac:dyDescent="0.3">
      <c r="A50" s="4" t="s">
        <v>893</v>
      </c>
      <c r="B50" s="4" t="s">
        <v>894</v>
      </c>
      <c r="C50" s="4" t="s">
        <v>1248</v>
      </c>
      <c r="D50" s="4" t="s">
        <v>236</v>
      </c>
      <c r="E50" s="4" t="s">
        <v>1522</v>
      </c>
      <c r="F50" s="4" t="s">
        <v>1523</v>
      </c>
      <c r="G50" s="4" t="s">
        <v>1524</v>
      </c>
      <c r="H50" s="4" t="s">
        <v>1486</v>
      </c>
      <c r="I50" s="4" t="s">
        <v>1525</v>
      </c>
      <c r="J50" s="4"/>
      <c r="K50" s="4" t="s">
        <v>1578</v>
      </c>
      <c r="L50" s="4" t="s">
        <v>1579</v>
      </c>
    </row>
    <row r="51" spans="1:12" ht="99" x14ac:dyDescent="0.3">
      <c r="A51" s="4" t="s">
        <v>898</v>
      </c>
      <c r="B51" s="4" t="s">
        <v>899</v>
      </c>
      <c r="C51" s="4" t="s">
        <v>1179</v>
      </c>
      <c r="D51" s="4" t="s">
        <v>1249</v>
      </c>
      <c r="E51" s="4" t="s">
        <v>1488</v>
      </c>
      <c r="F51" s="4" t="s">
        <v>1489</v>
      </c>
      <c r="G51" s="4" t="s">
        <v>1490</v>
      </c>
      <c r="H51" s="4" t="s">
        <v>1486</v>
      </c>
      <c r="I51" s="4" t="s">
        <v>1491</v>
      </c>
      <c r="J51" s="4" t="s">
        <v>1250</v>
      </c>
      <c r="K51" s="4" t="s">
        <v>1580</v>
      </c>
      <c r="L51" s="4" t="s">
        <v>900</v>
      </c>
    </row>
    <row r="52" spans="1:12" ht="82.5" x14ac:dyDescent="0.3">
      <c r="A52" s="4" t="s">
        <v>903</v>
      </c>
      <c r="B52" s="4" t="s">
        <v>676</v>
      </c>
      <c r="C52" s="4" t="s">
        <v>1251</v>
      </c>
      <c r="D52" s="4" t="s">
        <v>1203</v>
      </c>
      <c r="E52" s="4" t="s">
        <v>1499</v>
      </c>
      <c r="F52" s="4" t="s">
        <v>1500</v>
      </c>
      <c r="G52" s="4" t="s">
        <v>1501</v>
      </c>
      <c r="H52" s="4" t="s">
        <v>1486</v>
      </c>
      <c r="I52" s="4" t="s">
        <v>1502</v>
      </c>
      <c r="J52" s="4"/>
      <c r="K52" s="4" t="s">
        <v>1581</v>
      </c>
      <c r="L52" s="4" t="s">
        <v>904</v>
      </c>
    </row>
    <row r="53" spans="1:12" ht="82.5" x14ac:dyDescent="0.3">
      <c r="A53" s="4" t="s">
        <v>907</v>
      </c>
      <c r="B53" s="4" t="s">
        <v>637</v>
      </c>
      <c r="C53" s="4" t="s">
        <v>1179</v>
      </c>
      <c r="D53" s="4" t="s">
        <v>1252</v>
      </c>
      <c r="E53" s="4" t="s">
        <v>1488</v>
      </c>
      <c r="F53" s="4" t="s">
        <v>1489</v>
      </c>
      <c r="G53" s="4" t="s">
        <v>1490</v>
      </c>
      <c r="H53" s="4" t="s">
        <v>1486</v>
      </c>
      <c r="I53" s="4" t="s">
        <v>1491</v>
      </c>
      <c r="J53" s="4" t="s">
        <v>1582</v>
      </c>
      <c r="K53" s="4" t="s">
        <v>1583</v>
      </c>
      <c r="L53" s="4" t="s">
        <v>908</v>
      </c>
    </row>
    <row r="54" spans="1:12" ht="82.5" x14ac:dyDescent="0.3">
      <c r="A54" s="4" t="s">
        <v>911</v>
      </c>
      <c r="B54" s="4" t="s">
        <v>912</v>
      </c>
      <c r="C54" s="4" t="s">
        <v>1254</v>
      </c>
      <c r="D54" s="4" t="s">
        <v>1255</v>
      </c>
      <c r="E54" s="4" t="s">
        <v>1522</v>
      </c>
      <c r="F54" s="4" t="s">
        <v>1523</v>
      </c>
      <c r="G54" s="4" t="s">
        <v>1524</v>
      </c>
      <c r="H54" s="4" t="s">
        <v>1486</v>
      </c>
      <c r="I54" s="4" t="s">
        <v>1525</v>
      </c>
      <c r="J54" s="4" t="s">
        <v>1584</v>
      </c>
      <c r="K54" s="4" t="s">
        <v>1585</v>
      </c>
      <c r="L54" s="4" t="s">
        <v>1586</v>
      </c>
    </row>
    <row r="55" spans="1:12" ht="66" x14ac:dyDescent="0.3">
      <c r="A55" s="4" t="s">
        <v>919</v>
      </c>
      <c r="B55" s="4" t="s">
        <v>920</v>
      </c>
      <c r="C55" s="4" t="s">
        <v>1234</v>
      </c>
      <c r="D55" s="4" t="s">
        <v>155</v>
      </c>
      <c r="E55" s="4" t="s">
        <v>1488</v>
      </c>
      <c r="F55" s="4" t="s">
        <v>1489</v>
      </c>
      <c r="G55" s="4" t="s">
        <v>1490</v>
      </c>
      <c r="H55" s="4" t="s">
        <v>1486</v>
      </c>
      <c r="I55" s="4" t="s">
        <v>1491</v>
      </c>
      <c r="J55" s="4"/>
      <c r="K55" s="4" t="s">
        <v>923</v>
      </c>
      <c r="L55" s="4" t="s">
        <v>922</v>
      </c>
    </row>
    <row r="56" spans="1:12" ht="82.5" x14ac:dyDescent="0.3">
      <c r="A56" s="4" t="s">
        <v>925</v>
      </c>
      <c r="B56" s="4" t="s">
        <v>926</v>
      </c>
      <c r="C56" s="4" t="s">
        <v>1186</v>
      </c>
      <c r="D56" s="4" t="s">
        <v>1257</v>
      </c>
      <c r="E56" s="4" t="s">
        <v>1522</v>
      </c>
      <c r="F56" s="4" t="s">
        <v>1523</v>
      </c>
      <c r="G56" s="4" t="s">
        <v>1524</v>
      </c>
      <c r="H56" s="4" t="s">
        <v>1486</v>
      </c>
      <c r="I56" s="4" t="s">
        <v>1525</v>
      </c>
      <c r="J56" s="4" t="s">
        <v>1587</v>
      </c>
      <c r="K56" s="4" t="s">
        <v>928</v>
      </c>
      <c r="L56" s="4" t="s">
        <v>1588</v>
      </c>
    </row>
    <row r="57" spans="1:12" ht="66" x14ac:dyDescent="0.3">
      <c r="A57" s="4" t="s">
        <v>930</v>
      </c>
      <c r="B57" s="4" t="s">
        <v>894</v>
      </c>
      <c r="C57" s="4" t="s">
        <v>1259</v>
      </c>
      <c r="D57" s="4" t="s">
        <v>236</v>
      </c>
      <c r="E57" s="4" t="s">
        <v>1522</v>
      </c>
      <c r="F57" s="4" t="s">
        <v>1523</v>
      </c>
      <c r="G57" s="4" t="s">
        <v>1524</v>
      </c>
      <c r="H57" s="4" t="s">
        <v>1486</v>
      </c>
      <c r="I57" s="4" t="s">
        <v>1525</v>
      </c>
      <c r="J57" s="4"/>
      <c r="K57" s="4" t="s">
        <v>932</v>
      </c>
      <c r="L57" s="4" t="s">
        <v>931</v>
      </c>
    </row>
    <row r="58" spans="1:12" ht="66" x14ac:dyDescent="0.3">
      <c r="A58" s="4" t="s">
        <v>934</v>
      </c>
      <c r="B58" s="4" t="s">
        <v>787</v>
      </c>
      <c r="C58" s="4" t="s">
        <v>1196</v>
      </c>
      <c r="D58" s="4" t="s">
        <v>1222</v>
      </c>
      <c r="E58" s="4" t="s">
        <v>1488</v>
      </c>
      <c r="F58" s="4" t="s">
        <v>1489</v>
      </c>
      <c r="G58" s="4" t="s">
        <v>1490</v>
      </c>
      <c r="H58" s="4" t="s">
        <v>1486</v>
      </c>
      <c r="I58" s="4" t="s">
        <v>1491</v>
      </c>
      <c r="J58" s="4" t="s">
        <v>1177</v>
      </c>
      <c r="K58" s="4" t="s">
        <v>935</v>
      </c>
      <c r="L58" s="4" t="s">
        <v>644</v>
      </c>
    </row>
    <row r="59" spans="1:12" ht="82.5" x14ac:dyDescent="0.3">
      <c r="A59" s="4" t="s">
        <v>937</v>
      </c>
      <c r="B59" s="4" t="s">
        <v>787</v>
      </c>
      <c r="C59" s="4" t="s">
        <v>1196</v>
      </c>
      <c r="D59" s="4" t="s">
        <v>1222</v>
      </c>
      <c r="E59" s="4" t="s">
        <v>1488</v>
      </c>
      <c r="F59" s="4" t="s">
        <v>1489</v>
      </c>
      <c r="G59" s="4" t="s">
        <v>1490</v>
      </c>
      <c r="H59" s="4" t="s">
        <v>1486</v>
      </c>
      <c r="I59" s="4" t="s">
        <v>1491</v>
      </c>
      <c r="J59" s="4" t="s">
        <v>1177</v>
      </c>
      <c r="K59" s="4" t="s">
        <v>1589</v>
      </c>
      <c r="L59" s="4" t="s">
        <v>644</v>
      </c>
    </row>
    <row r="60" spans="1:12" ht="82.5" x14ac:dyDescent="0.3">
      <c r="A60" s="4" t="s">
        <v>940</v>
      </c>
      <c r="B60" s="4" t="s">
        <v>941</v>
      </c>
      <c r="C60" s="4" t="s">
        <v>1233</v>
      </c>
      <c r="D60" s="4" t="s">
        <v>256</v>
      </c>
      <c r="E60" s="4" t="s">
        <v>1590</v>
      </c>
      <c r="F60" s="4" t="s">
        <v>1591</v>
      </c>
      <c r="G60" s="4" t="s">
        <v>1592</v>
      </c>
      <c r="H60" s="4" t="s">
        <v>1486</v>
      </c>
      <c r="I60" s="4" t="s">
        <v>1593</v>
      </c>
      <c r="J60" s="4" t="s">
        <v>1594</v>
      </c>
      <c r="K60" s="4" t="s">
        <v>945</v>
      </c>
      <c r="L60" s="4" t="s">
        <v>1595</v>
      </c>
    </row>
    <row r="61" spans="1:12" ht="82.5" x14ac:dyDescent="0.3">
      <c r="A61" s="4" t="s">
        <v>947</v>
      </c>
      <c r="B61" s="4" t="s">
        <v>881</v>
      </c>
      <c r="C61" s="4" t="s">
        <v>1200</v>
      </c>
      <c r="D61" s="4" t="s">
        <v>1246</v>
      </c>
      <c r="E61" s="4" t="s">
        <v>1509</v>
      </c>
      <c r="F61" s="4" t="s">
        <v>1510</v>
      </c>
      <c r="G61" s="4" t="s">
        <v>1511</v>
      </c>
      <c r="H61" s="4" t="s">
        <v>1486</v>
      </c>
      <c r="I61" s="4" t="s">
        <v>1512</v>
      </c>
      <c r="J61" s="4" t="s">
        <v>1261</v>
      </c>
      <c r="K61" s="4" t="s">
        <v>949</v>
      </c>
      <c r="L61" s="4" t="s">
        <v>948</v>
      </c>
    </row>
    <row r="62" spans="1:12" ht="132" x14ac:dyDescent="0.3">
      <c r="A62" s="4" t="s">
        <v>951</v>
      </c>
      <c r="B62" s="4" t="s">
        <v>952</v>
      </c>
      <c r="C62" s="4" t="s">
        <v>1233</v>
      </c>
      <c r="D62" s="4" t="s">
        <v>256</v>
      </c>
      <c r="E62" s="4" t="s">
        <v>1590</v>
      </c>
      <c r="F62" s="4" t="s">
        <v>1591</v>
      </c>
      <c r="G62" s="4" t="s">
        <v>1592</v>
      </c>
      <c r="H62" s="4" t="s">
        <v>1486</v>
      </c>
      <c r="I62" s="4" t="s">
        <v>1593</v>
      </c>
      <c r="J62" s="4"/>
      <c r="K62" s="4" t="s">
        <v>954</v>
      </c>
      <c r="L62" s="4" t="s">
        <v>953</v>
      </c>
    </row>
    <row r="63" spans="1:12" ht="198" x14ac:dyDescent="0.3">
      <c r="A63" s="4" t="s">
        <v>956</v>
      </c>
      <c r="B63" s="4" t="s">
        <v>957</v>
      </c>
      <c r="C63" s="4" t="s">
        <v>1234</v>
      </c>
      <c r="D63" s="4" t="s">
        <v>1262</v>
      </c>
      <c r="E63" s="4" t="s">
        <v>1590</v>
      </c>
      <c r="F63" s="4" t="s">
        <v>1591</v>
      </c>
      <c r="G63" s="4" t="s">
        <v>1592</v>
      </c>
      <c r="H63" s="4" t="s">
        <v>1486</v>
      </c>
      <c r="I63" s="4" t="s">
        <v>1593</v>
      </c>
      <c r="J63" s="4"/>
      <c r="K63" s="4" t="s">
        <v>959</v>
      </c>
      <c r="L63" s="4" t="s">
        <v>953</v>
      </c>
    </row>
    <row r="64" spans="1:12" ht="165" x14ac:dyDescent="0.3">
      <c r="A64" s="4" t="s">
        <v>961</v>
      </c>
      <c r="B64" s="4" t="s">
        <v>962</v>
      </c>
      <c r="C64" s="4" t="s">
        <v>1189</v>
      </c>
      <c r="D64" s="4" t="s">
        <v>1263</v>
      </c>
      <c r="E64" s="4" t="s">
        <v>1483</v>
      </c>
      <c r="F64" s="4" t="s">
        <v>1484</v>
      </c>
      <c r="G64" s="4" t="s">
        <v>1485</v>
      </c>
      <c r="H64" s="4" t="s">
        <v>1486</v>
      </c>
      <c r="I64" s="4" t="s">
        <v>1487</v>
      </c>
      <c r="J64" s="4" t="s">
        <v>1177</v>
      </c>
      <c r="K64" s="4" t="s">
        <v>964</v>
      </c>
      <c r="L64" s="4" t="s">
        <v>644</v>
      </c>
    </row>
    <row r="65" spans="1:12" ht="181.5" x14ac:dyDescent="0.3">
      <c r="A65" s="4" t="s">
        <v>966</v>
      </c>
      <c r="B65" s="4" t="s">
        <v>967</v>
      </c>
      <c r="C65" s="4" t="s">
        <v>1248</v>
      </c>
      <c r="D65" s="4" t="s">
        <v>1264</v>
      </c>
      <c r="E65" s="4" t="s">
        <v>1522</v>
      </c>
      <c r="F65" s="4" t="s">
        <v>1523</v>
      </c>
      <c r="G65" s="4" t="s">
        <v>1524</v>
      </c>
      <c r="H65" s="4" t="s">
        <v>1486</v>
      </c>
      <c r="I65" s="4" t="s">
        <v>1525</v>
      </c>
      <c r="J65" s="4" t="s">
        <v>1265</v>
      </c>
      <c r="K65" s="4" t="s">
        <v>969</v>
      </c>
      <c r="L65" s="4" t="s">
        <v>968</v>
      </c>
    </row>
    <row r="66" spans="1:12" ht="181.5" x14ac:dyDescent="0.3">
      <c r="A66" s="4" t="s">
        <v>971</v>
      </c>
      <c r="B66" s="4" t="s">
        <v>972</v>
      </c>
      <c r="C66" s="4" t="s">
        <v>1266</v>
      </c>
      <c r="D66" s="4" t="s">
        <v>155</v>
      </c>
      <c r="E66" s="4" t="s">
        <v>1488</v>
      </c>
      <c r="F66" s="4" t="s">
        <v>1489</v>
      </c>
      <c r="G66" s="4" t="s">
        <v>1490</v>
      </c>
      <c r="H66" s="4" t="s">
        <v>1486</v>
      </c>
      <c r="I66" s="4" t="s">
        <v>1491</v>
      </c>
      <c r="J66" s="4" t="s">
        <v>1267</v>
      </c>
      <c r="K66" s="4" t="s">
        <v>975</v>
      </c>
      <c r="L66" s="4" t="s">
        <v>974</v>
      </c>
    </row>
    <row r="67" spans="1:12" ht="396" x14ac:dyDescent="0.3">
      <c r="A67" s="4" t="s">
        <v>977</v>
      </c>
      <c r="B67" s="4" t="s">
        <v>637</v>
      </c>
      <c r="C67" s="4" t="s">
        <v>1268</v>
      </c>
      <c r="D67" s="4" t="s">
        <v>1269</v>
      </c>
      <c r="E67" s="4" t="s">
        <v>1590</v>
      </c>
      <c r="F67" s="4" t="s">
        <v>1591</v>
      </c>
      <c r="G67" s="4" t="s">
        <v>1592</v>
      </c>
      <c r="H67" s="4" t="s">
        <v>1486</v>
      </c>
      <c r="I67" s="4" t="s">
        <v>1593</v>
      </c>
      <c r="J67" s="4" t="s">
        <v>1270</v>
      </c>
      <c r="K67" s="4" t="s">
        <v>980</v>
      </c>
      <c r="L67" s="4" t="s">
        <v>979</v>
      </c>
    </row>
    <row r="68" spans="1:12" ht="247.5" x14ac:dyDescent="0.3">
      <c r="A68" s="4" t="s">
        <v>982</v>
      </c>
      <c r="B68" s="4" t="s">
        <v>972</v>
      </c>
      <c r="C68" s="4" t="s">
        <v>1233</v>
      </c>
      <c r="D68" s="4" t="s">
        <v>255</v>
      </c>
      <c r="E68" s="4" t="s">
        <v>1590</v>
      </c>
      <c r="F68" s="4" t="s">
        <v>1591</v>
      </c>
      <c r="G68" s="4" t="s">
        <v>1592</v>
      </c>
      <c r="H68" s="4" t="s">
        <v>1486</v>
      </c>
      <c r="I68" s="4" t="s">
        <v>1593</v>
      </c>
      <c r="J68" s="4" t="s">
        <v>1271</v>
      </c>
      <c r="K68" s="4" t="s">
        <v>985</v>
      </c>
      <c r="L68" s="4" t="s">
        <v>984</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1"/>
  <sheetViews>
    <sheetView workbookViewId="0"/>
  </sheetViews>
  <sheetFormatPr defaultRowHeight="16.5" x14ac:dyDescent="0.3"/>
  <cols>
    <col min="1" max="1" width="24" customWidth="1"/>
    <col min="2" max="2" width="30" customWidth="1"/>
    <col min="3" max="4" width="42" customWidth="1"/>
  </cols>
  <sheetData>
    <row r="1" spans="1:4" x14ac:dyDescent="0.3">
      <c r="A1" s="10" t="s">
        <v>1596</v>
      </c>
      <c r="B1" s="10" t="s">
        <v>1597</v>
      </c>
      <c r="C1" s="10" t="s">
        <v>1598</v>
      </c>
      <c r="D1" s="10" t="s">
        <v>1599</v>
      </c>
    </row>
    <row r="2" spans="1:4" ht="33" x14ac:dyDescent="0.3">
      <c r="A2" s="4" t="s">
        <v>1600</v>
      </c>
      <c r="B2" s="4" t="s">
        <v>1601</v>
      </c>
      <c r="C2" s="4" t="s">
        <v>1602</v>
      </c>
      <c r="D2" s="4" t="s">
        <v>1603</v>
      </c>
    </row>
    <row r="3" spans="1:4" ht="33" x14ac:dyDescent="0.3">
      <c r="A3" s="4" t="s">
        <v>1604</v>
      </c>
      <c r="B3" s="4" t="s">
        <v>1605</v>
      </c>
      <c r="C3" s="4" t="s">
        <v>1606</v>
      </c>
      <c r="D3" s="4" t="s">
        <v>1607</v>
      </c>
    </row>
    <row r="4" spans="1:4" ht="33" x14ac:dyDescent="0.3">
      <c r="A4" s="4" t="s">
        <v>1608</v>
      </c>
      <c r="B4" s="4" t="s">
        <v>1609</v>
      </c>
      <c r="C4" s="4" t="s">
        <v>1610</v>
      </c>
      <c r="D4" s="4" t="s">
        <v>1611</v>
      </c>
    </row>
    <row r="5" spans="1:4" ht="33" x14ac:dyDescent="0.3">
      <c r="A5" s="4" t="s">
        <v>387</v>
      </c>
      <c r="B5" s="4" t="s">
        <v>1612</v>
      </c>
      <c r="C5" s="4" t="s">
        <v>1613</v>
      </c>
      <c r="D5" s="4" t="s">
        <v>1614</v>
      </c>
    </row>
    <row r="6" spans="1:4" ht="33" x14ac:dyDescent="0.3">
      <c r="A6" s="4" t="s">
        <v>1615</v>
      </c>
      <c r="B6" s="4" t="s">
        <v>1616</v>
      </c>
      <c r="C6" s="4" t="s">
        <v>1617</v>
      </c>
      <c r="D6" s="4" t="s">
        <v>1618</v>
      </c>
    </row>
    <row r="7" spans="1:4" x14ac:dyDescent="0.3">
      <c r="A7" s="4" t="s">
        <v>516</v>
      </c>
      <c r="B7" s="4" t="s">
        <v>1619</v>
      </c>
      <c r="C7" s="4" t="s">
        <v>1620</v>
      </c>
      <c r="D7" s="4" t="s">
        <v>1621</v>
      </c>
    </row>
    <row r="8" spans="1:4" ht="33" x14ac:dyDescent="0.3">
      <c r="A8" s="4" t="s">
        <v>1622</v>
      </c>
      <c r="B8" s="4" t="s">
        <v>1623</v>
      </c>
      <c r="C8" s="4" t="s">
        <v>1624</v>
      </c>
      <c r="D8" s="4" t="s">
        <v>1625</v>
      </c>
    </row>
    <row r="9" spans="1:4" x14ac:dyDescent="0.3">
      <c r="A9" s="4" t="s">
        <v>1626</v>
      </c>
      <c r="B9" s="4" t="s">
        <v>1627</v>
      </c>
      <c r="C9" s="4" t="s">
        <v>1628</v>
      </c>
      <c r="D9" s="4" t="s">
        <v>1629</v>
      </c>
    </row>
    <row r="10" spans="1:4" x14ac:dyDescent="0.3">
      <c r="A10" s="4" t="s">
        <v>1630</v>
      </c>
      <c r="B10" s="4" t="s">
        <v>1631</v>
      </c>
      <c r="C10" s="4" t="s">
        <v>1632</v>
      </c>
      <c r="D10" s="4" t="s">
        <v>1633</v>
      </c>
    </row>
    <row r="11" spans="1:4" x14ac:dyDescent="0.3">
      <c r="A11" s="4" t="s">
        <v>1634</v>
      </c>
      <c r="B11" s="4" t="s">
        <v>1635</v>
      </c>
      <c r="C11" s="4" t="s">
        <v>1636</v>
      </c>
      <c r="D11" s="4" t="s">
        <v>1637</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9"/>
  <sheetViews>
    <sheetView workbookViewId="0"/>
  </sheetViews>
  <sheetFormatPr defaultRowHeight="16.5" x14ac:dyDescent="0.3"/>
  <cols>
    <col min="1" max="1" width="24" customWidth="1"/>
    <col min="2" max="2" width="30" customWidth="1"/>
    <col min="3" max="4" width="42" customWidth="1"/>
  </cols>
  <sheetData>
    <row r="1" spans="1:4" x14ac:dyDescent="0.3">
      <c r="A1" s="10" t="s">
        <v>1273</v>
      </c>
      <c r="B1" s="10" t="s">
        <v>1638</v>
      </c>
      <c r="C1" s="10" t="s">
        <v>1275</v>
      </c>
      <c r="D1" s="4"/>
    </row>
    <row r="2" spans="1:4" x14ac:dyDescent="0.3">
      <c r="A2" s="4" t="s">
        <v>1639</v>
      </c>
      <c r="B2" s="4">
        <v>55</v>
      </c>
      <c r="C2" s="4" t="s">
        <v>1640</v>
      </c>
    </row>
    <row r="3" spans="1:4" x14ac:dyDescent="0.3">
      <c r="A3" s="4" t="s">
        <v>1641</v>
      </c>
      <c r="B3" s="4">
        <v>67</v>
      </c>
      <c r="C3" s="4" t="s">
        <v>1642</v>
      </c>
    </row>
    <row r="4" spans="1:4" ht="33" x14ac:dyDescent="0.3">
      <c r="A4" s="4" t="s">
        <v>1643</v>
      </c>
      <c r="B4" s="4" t="s">
        <v>1329</v>
      </c>
      <c r="C4" s="4" t="s">
        <v>1644</v>
      </c>
    </row>
    <row r="5" spans="1:4" ht="33" x14ac:dyDescent="0.3">
      <c r="A5" s="4" t="s">
        <v>1645</v>
      </c>
      <c r="B5" s="4" t="s">
        <v>1488</v>
      </c>
      <c r="C5" s="4" t="s">
        <v>1646</v>
      </c>
    </row>
    <row r="6" spans="1:4" ht="33" x14ac:dyDescent="0.3">
      <c r="A6" s="4" t="s">
        <v>1647</v>
      </c>
      <c r="B6" s="4" t="s">
        <v>1648</v>
      </c>
      <c r="C6" s="4" t="s">
        <v>1649</v>
      </c>
    </row>
    <row r="7" spans="1:4" x14ac:dyDescent="0.3">
      <c r="A7" s="4" t="s">
        <v>1650</v>
      </c>
      <c r="B7" s="4" t="s">
        <v>1329</v>
      </c>
      <c r="C7" s="4">
        <v>25</v>
      </c>
    </row>
    <row r="8" spans="1:4" x14ac:dyDescent="0.3">
      <c r="A8" s="4" t="s">
        <v>1650</v>
      </c>
      <c r="B8" s="4" t="s">
        <v>1339</v>
      </c>
      <c r="C8" s="4">
        <v>15</v>
      </c>
    </row>
    <row r="9" spans="1:4" x14ac:dyDescent="0.3">
      <c r="A9" s="4" t="s">
        <v>1650</v>
      </c>
      <c r="B9" s="4" t="s">
        <v>1317</v>
      </c>
      <c r="C9" s="4">
        <v>11</v>
      </c>
    </row>
    <row r="10" spans="1:4" x14ac:dyDescent="0.3">
      <c r="A10" s="4" t="s">
        <v>1650</v>
      </c>
      <c r="B10" s="4" t="s">
        <v>1365</v>
      </c>
      <c r="C10" s="4">
        <v>4</v>
      </c>
    </row>
    <row r="11" spans="1:4" x14ac:dyDescent="0.3">
      <c r="A11" s="4" t="s">
        <v>1651</v>
      </c>
      <c r="B11" s="4" t="s">
        <v>1488</v>
      </c>
      <c r="C11" s="4">
        <v>20</v>
      </c>
    </row>
    <row r="12" spans="1:4" x14ac:dyDescent="0.3">
      <c r="A12" s="4" t="s">
        <v>1651</v>
      </c>
      <c r="B12" s="4" t="s">
        <v>1539</v>
      </c>
      <c r="C12" s="4">
        <v>12</v>
      </c>
    </row>
    <row r="13" spans="1:4" x14ac:dyDescent="0.3">
      <c r="A13" s="4" t="s">
        <v>1651</v>
      </c>
      <c r="B13" s="4" t="s">
        <v>1499</v>
      </c>
      <c r="C13" s="4">
        <v>9</v>
      </c>
    </row>
    <row r="14" spans="1:4" x14ac:dyDescent="0.3">
      <c r="A14" s="4" t="s">
        <v>1651</v>
      </c>
      <c r="B14" s="4" t="s">
        <v>1522</v>
      </c>
      <c r="C14" s="4">
        <v>8</v>
      </c>
    </row>
    <row r="15" spans="1:4" x14ac:dyDescent="0.3">
      <c r="A15" s="4" t="s">
        <v>1651</v>
      </c>
      <c r="B15" s="4" t="s">
        <v>1590</v>
      </c>
      <c r="C15" s="4">
        <v>5</v>
      </c>
    </row>
    <row r="16" spans="1:4" x14ac:dyDescent="0.3">
      <c r="A16" s="4" t="s">
        <v>1651</v>
      </c>
      <c r="B16" s="4" t="s">
        <v>1483</v>
      </c>
      <c r="C16" s="4">
        <v>4</v>
      </c>
    </row>
    <row r="17" spans="1:3" x14ac:dyDescent="0.3">
      <c r="A17" s="4" t="s">
        <v>1651</v>
      </c>
      <c r="B17" s="4" t="s">
        <v>1493</v>
      </c>
      <c r="C17" s="4">
        <v>4</v>
      </c>
    </row>
    <row r="18" spans="1:3" x14ac:dyDescent="0.3">
      <c r="A18" s="4" t="s">
        <v>1651</v>
      </c>
      <c r="B18" s="4" t="s">
        <v>1509</v>
      </c>
      <c r="C18" s="4">
        <v>4</v>
      </c>
    </row>
    <row r="19" spans="1:3" x14ac:dyDescent="0.3">
      <c r="A19" s="4" t="s">
        <v>1651</v>
      </c>
      <c r="B19" s="4" t="s">
        <v>1221</v>
      </c>
      <c r="C19" s="4">
        <v>1</v>
      </c>
    </row>
  </sheetData>
  <phoneticPr fontId="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
  <sheetViews>
    <sheetView workbookViewId="0">
      <selection activeCell="F29" sqref="F29"/>
    </sheetView>
  </sheetViews>
  <sheetFormatPr defaultRowHeight="16.5" x14ac:dyDescent="0.3"/>
  <cols>
    <col min="1" max="1" width="64" customWidth="1"/>
    <col min="2" max="2" width="16.875" customWidth="1"/>
    <col min="3" max="3" width="7.875" bestFit="1" customWidth="1"/>
    <col min="4" max="4" width="23" customWidth="1"/>
    <col min="5" max="5" width="5.75" customWidth="1"/>
    <col min="6" max="6" width="20.5" customWidth="1"/>
    <col min="8" max="9" width="18" customWidth="1"/>
  </cols>
  <sheetData>
    <row r="1" spans="1:9" ht="20.25" x14ac:dyDescent="0.3">
      <c r="A1" s="16" t="s">
        <v>1652</v>
      </c>
      <c r="B1" s="17"/>
      <c r="C1" s="17"/>
      <c r="D1" s="17"/>
      <c r="E1" s="17"/>
      <c r="F1" s="17"/>
      <c r="G1" s="17"/>
      <c r="H1" s="17"/>
    </row>
    <row r="3" spans="1:9" x14ac:dyDescent="0.3">
      <c r="A3" s="11" t="s">
        <v>1653</v>
      </c>
      <c r="B3" s="11" t="s">
        <v>1654</v>
      </c>
      <c r="C3" s="11" t="s">
        <v>987</v>
      </c>
      <c r="D3" s="11" t="s">
        <v>988</v>
      </c>
      <c r="E3" s="11" t="s">
        <v>1655</v>
      </c>
      <c r="F3" s="11" t="s">
        <v>989</v>
      </c>
      <c r="H3" s="11"/>
      <c r="I3" s="11"/>
    </row>
    <row r="4" spans="1:9" x14ac:dyDescent="0.3">
      <c r="A4" s="1" t="s">
        <v>1656</v>
      </c>
      <c r="B4" s="1" t="s">
        <v>1657</v>
      </c>
      <c r="C4" s="12">
        <v>1000</v>
      </c>
      <c r="D4" s="1" t="s">
        <v>1658</v>
      </c>
      <c r="E4" s="12">
        <v>40</v>
      </c>
      <c r="F4" s="1" t="s">
        <v>1659</v>
      </c>
    </row>
    <row r="5" spans="1:9" x14ac:dyDescent="0.3">
      <c r="A5" s="1" t="s">
        <v>1656</v>
      </c>
      <c r="B5" s="1" t="s">
        <v>1660</v>
      </c>
      <c r="C5" s="12">
        <v>1.2</v>
      </c>
      <c r="D5" s="1" t="s">
        <v>1661</v>
      </c>
      <c r="E5" s="12">
        <v>1.2</v>
      </c>
      <c r="F5" s="1" t="s">
        <v>1662</v>
      </c>
    </row>
    <row r="6" spans="1:9" x14ac:dyDescent="0.3">
      <c r="A6" s="1" t="s">
        <v>1656</v>
      </c>
      <c r="B6" s="1" t="s">
        <v>1663</v>
      </c>
      <c r="C6" s="12">
        <v>16</v>
      </c>
      <c r="D6" s="1" t="s">
        <v>1664</v>
      </c>
      <c r="E6" s="12">
        <v>50</v>
      </c>
      <c r="F6" s="1"/>
    </row>
    <row r="7" spans="1:9" x14ac:dyDescent="0.3">
      <c r="A7" s="1" t="s">
        <v>1656</v>
      </c>
      <c r="B7" s="1" t="s">
        <v>1665</v>
      </c>
      <c r="C7" s="12">
        <v>30</v>
      </c>
      <c r="D7" s="1" t="s">
        <v>1666</v>
      </c>
      <c r="E7" s="12">
        <v>30</v>
      </c>
      <c r="F7" s="1" t="s">
        <v>1667</v>
      </c>
    </row>
    <row r="8" spans="1:9" ht="33" x14ac:dyDescent="0.3">
      <c r="A8" s="1" t="s">
        <v>1656</v>
      </c>
      <c r="B8" s="1" t="s">
        <v>1668</v>
      </c>
      <c r="C8" s="12">
        <v>1.5</v>
      </c>
      <c r="D8" s="1" t="s">
        <v>1669</v>
      </c>
      <c r="E8" s="12">
        <v>1.08</v>
      </c>
      <c r="F8" s="1"/>
    </row>
    <row r="9" spans="1:9" x14ac:dyDescent="0.3">
      <c r="A9" s="1" t="s">
        <v>1670</v>
      </c>
      <c r="B9" s="1" t="s">
        <v>1671</v>
      </c>
      <c r="C9" s="12">
        <v>0.7</v>
      </c>
      <c r="D9" s="1" t="s">
        <v>1672</v>
      </c>
      <c r="E9" s="12">
        <v>0.7</v>
      </c>
      <c r="F9" s="1"/>
    </row>
    <row r="10" spans="1:9" x14ac:dyDescent="0.3">
      <c r="A10" s="1" t="s">
        <v>1670</v>
      </c>
      <c r="B10" s="1" t="s">
        <v>1673</v>
      </c>
      <c r="C10" s="12">
        <v>3</v>
      </c>
      <c r="D10" s="1" t="s">
        <v>1674</v>
      </c>
      <c r="E10" s="12">
        <v>3</v>
      </c>
      <c r="F10" s="1"/>
    </row>
    <row r="11" spans="1:9" x14ac:dyDescent="0.3">
      <c r="A11" s="1" t="s">
        <v>1670</v>
      </c>
      <c r="B11" s="1" t="s">
        <v>1675</v>
      </c>
      <c r="C11" s="12">
        <v>12</v>
      </c>
      <c r="D11" s="1" t="s">
        <v>1676</v>
      </c>
      <c r="E11" s="12">
        <v>12</v>
      </c>
      <c r="F11" s="1"/>
    </row>
    <row r="12" spans="1:9" x14ac:dyDescent="0.3">
      <c r="A12" s="1" t="s">
        <v>1670</v>
      </c>
      <c r="B12" s="1" t="s">
        <v>1677</v>
      </c>
      <c r="C12" s="12">
        <v>120</v>
      </c>
      <c r="D12" s="1" t="s">
        <v>1678</v>
      </c>
      <c r="E12" s="12">
        <v>120</v>
      </c>
      <c r="F12" s="1" t="s">
        <v>1679</v>
      </c>
    </row>
    <row r="13" spans="1:9" ht="33" x14ac:dyDescent="0.3">
      <c r="A13" s="1" t="s">
        <v>1680</v>
      </c>
      <c r="B13" s="1" t="s">
        <v>1681</v>
      </c>
      <c r="C13" s="12">
        <v>450</v>
      </c>
      <c r="D13" s="1" t="s">
        <v>1682</v>
      </c>
      <c r="E13" s="12">
        <v>25</v>
      </c>
      <c r="F13" s="1" t="s">
        <v>1683</v>
      </c>
    </row>
    <row r="14" spans="1:9" x14ac:dyDescent="0.3">
      <c r="A14" s="1" t="s">
        <v>1680</v>
      </c>
      <c r="B14" s="1" t="s">
        <v>1684</v>
      </c>
      <c r="C14" s="12">
        <v>1.6</v>
      </c>
      <c r="D14" s="1" t="s">
        <v>1685</v>
      </c>
      <c r="E14" s="12">
        <v>1.6</v>
      </c>
      <c r="F14" s="1" t="s">
        <v>1686</v>
      </c>
    </row>
    <row r="15" spans="1:9" x14ac:dyDescent="0.3">
      <c r="A15" s="1" t="s">
        <v>1680</v>
      </c>
      <c r="B15" s="1" t="s">
        <v>1687</v>
      </c>
      <c r="C15" s="12">
        <v>8</v>
      </c>
      <c r="D15" s="1" t="s">
        <v>1688</v>
      </c>
      <c r="E15" s="12">
        <v>8</v>
      </c>
      <c r="F15" s="1" t="s">
        <v>1686</v>
      </c>
    </row>
    <row r="16" spans="1:9" ht="33" x14ac:dyDescent="0.3">
      <c r="A16" s="1" t="s">
        <v>1689</v>
      </c>
      <c r="B16" s="1" t="s">
        <v>1690</v>
      </c>
      <c r="C16" s="12">
        <v>1</v>
      </c>
      <c r="D16" s="1" t="s">
        <v>1691</v>
      </c>
      <c r="E16" s="12">
        <v>1</v>
      </c>
      <c r="F16" s="1" t="s">
        <v>1686</v>
      </c>
    </row>
    <row r="17" spans="1:6" x14ac:dyDescent="0.3">
      <c r="A17" s="1" t="s">
        <v>637</v>
      </c>
      <c r="B17" s="1" t="s">
        <v>1692</v>
      </c>
      <c r="C17" s="12">
        <v>5</v>
      </c>
      <c r="D17" s="1" t="s">
        <v>1693</v>
      </c>
      <c r="E17" s="12">
        <v>3</v>
      </c>
      <c r="F17" s="1"/>
    </row>
    <row r="18" spans="1:6" x14ac:dyDescent="0.3">
      <c r="A18" s="1" t="s">
        <v>637</v>
      </c>
      <c r="B18" s="1" t="s">
        <v>1694</v>
      </c>
      <c r="C18" s="12">
        <v>5</v>
      </c>
      <c r="D18" s="1" t="s">
        <v>1695</v>
      </c>
      <c r="E18" s="12">
        <v>3</v>
      </c>
      <c r="F18" s="1" t="s">
        <v>1696</v>
      </c>
    </row>
    <row r="20" spans="1:6" x14ac:dyDescent="0.3">
      <c r="A20" s="18" t="s">
        <v>1697</v>
      </c>
      <c r="B20" s="17"/>
      <c r="C20" s="17"/>
      <c r="D20" s="17"/>
      <c r="E20" s="17"/>
      <c r="F20" s="17"/>
    </row>
    <row r="21" spans="1:6" x14ac:dyDescent="0.3">
      <c r="A21" s="19" t="s">
        <v>1698</v>
      </c>
      <c r="B21" s="17"/>
      <c r="C21" s="17"/>
      <c r="D21" s="17"/>
      <c r="E21" s="17"/>
      <c r="F21" s="17"/>
    </row>
    <row r="22" spans="1:6" x14ac:dyDescent="0.3">
      <c r="A22" s="17" t="s">
        <v>1699</v>
      </c>
      <c r="B22" s="17"/>
      <c r="C22" s="17"/>
      <c r="D22" s="17"/>
      <c r="E22" s="17"/>
      <c r="F22" s="17"/>
    </row>
  </sheetData>
  <mergeCells count="3">
    <mergeCell ref="A1:H1"/>
    <mergeCell ref="A20:F20"/>
    <mergeCell ref="A21:F22"/>
  </mergeCells>
  <phoneticPr fontId="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3"/>
  <sheetViews>
    <sheetView workbookViewId="0">
      <selection activeCell="A53" sqref="A53:XFD53"/>
    </sheetView>
  </sheetViews>
  <sheetFormatPr defaultRowHeight="16.5" x14ac:dyDescent="0.3"/>
  <cols>
    <col min="1" max="1" width="52.75" customWidth="1"/>
    <col min="2" max="2" width="8.375" customWidth="1"/>
    <col min="3" max="4" width="7.375" customWidth="1"/>
    <col min="5" max="5" width="8.5" customWidth="1"/>
    <col min="6" max="6" width="9.375" customWidth="1"/>
    <col min="7" max="7" width="8.625" customWidth="1"/>
    <col min="8" max="8" width="17" customWidth="1"/>
    <col min="9" max="9" width="20.75" customWidth="1"/>
    <col min="10" max="10" width="12.75" customWidth="1"/>
  </cols>
  <sheetData>
    <row r="1" spans="1:10" ht="20.25" x14ac:dyDescent="0.3">
      <c r="A1" s="16" t="s">
        <v>1700</v>
      </c>
      <c r="B1" s="17"/>
      <c r="C1" s="17"/>
      <c r="D1" s="17"/>
      <c r="E1" s="17"/>
      <c r="F1" s="17"/>
      <c r="G1" s="17"/>
      <c r="H1" s="17"/>
      <c r="I1" s="17"/>
      <c r="J1" s="17"/>
    </row>
    <row r="3" spans="1:10" x14ac:dyDescent="0.3">
      <c r="A3" s="11" t="s">
        <v>1701</v>
      </c>
      <c r="B3" s="11" t="s">
        <v>1702</v>
      </c>
      <c r="C3" s="11" t="s">
        <v>1703</v>
      </c>
      <c r="D3" s="11" t="s">
        <v>1704</v>
      </c>
      <c r="E3" s="11" t="s">
        <v>1705</v>
      </c>
      <c r="F3" s="11" t="s">
        <v>1706</v>
      </c>
      <c r="G3" s="11" t="s">
        <v>1707</v>
      </c>
      <c r="H3" s="11" t="s">
        <v>1708</v>
      </c>
      <c r="I3" s="11" t="s">
        <v>1709</v>
      </c>
      <c r="J3" s="11" t="s">
        <v>1275</v>
      </c>
    </row>
    <row r="4" spans="1:10" x14ac:dyDescent="0.3">
      <c r="A4">
        <f>1</f>
        <v>1</v>
      </c>
      <c r="B4" s="13">
        <f>VLOOKUP("BaseHP",BALANCE_INPUTS!$B$4:$C$18,2,FALSE)*POWER(VLOOKUP("GrowthRate",BALANCE_INPUTS!$B$4:$C$18,2,FALSE),A4-1)</f>
        <v>1000</v>
      </c>
      <c r="C4" s="13">
        <f>B4*VLOOKUP("FastHPMultiplier",BALANCE_INPUTS!$B$4:$C$18,2,FALSE)</f>
        <v>700</v>
      </c>
      <c r="D4" s="13">
        <f>B4*VLOOKUP("TankHPMultiplier",BALANCE_INPUTS!$B$4:$C$18,2,FALSE)</f>
        <v>3000</v>
      </c>
      <c r="E4" s="13">
        <f>B4*VLOOKUP("EliteHPMultiplier",BALANCE_INPUTS!$B$4:$C$18,2,FALSE)</f>
        <v>12000</v>
      </c>
      <c r="F4" s="13">
        <f>B4*VLOOKUP("BossHPMultiplier",BALANCE_INPUTS!$B$4:$C$18,2,FALSE)</f>
        <v>120000</v>
      </c>
      <c r="G4" s="14">
        <f>ROUND(VLOOKUP("BaseMobCount",BALANCE_INPUTS!$B$4:$C$18,2,FALSE)*POWER(VLOOKUP("MobCountGrowth",BALANCE_INPUTS!$B$4:$C$18,2,FALSE),A4-1),0)</f>
        <v>30</v>
      </c>
      <c r="H4" s="13">
        <f t="shared" ref="H4:H35" si="0">B4*G4</f>
        <v>30000</v>
      </c>
      <c r="I4" s="13">
        <f>B4/VLOOKUP("TargetTTK_Normal",BALANCE_INPUTS!$B$4:$C$18,2,FALSE)</f>
        <v>625</v>
      </c>
      <c r="J4" t="str">
        <f t="shared" ref="J4:J35" si="1">IF(MOD(A4,10)=0,"Boss checkpoint",IF(MOD(A4,5)=0,"Elite pressure",""))</f>
        <v/>
      </c>
    </row>
    <row r="5" spans="1:10" x14ac:dyDescent="0.3">
      <c r="A5">
        <f>2</f>
        <v>2</v>
      </c>
      <c r="B5" s="13">
        <f>VLOOKUP("BaseHP",BALANCE_INPUTS!$B$4:$C$18,2,FALSE)*POWER(VLOOKUP("GrowthRate",BALANCE_INPUTS!$B$4:$C$18,2,FALSE),A5-1)</f>
        <v>1200</v>
      </c>
      <c r="C5" s="13">
        <f>B5*VLOOKUP("FastHPMultiplier",BALANCE_INPUTS!$B$4:$C$18,2,FALSE)</f>
        <v>840</v>
      </c>
      <c r="D5" s="13">
        <f>B5*VLOOKUP("TankHPMultiplier",BALANCE_INPUTS!$B$4:$C$18,2,FALSE)</f>
        <v>3600</v>
      </c>
      <c r="E5" s="13">
        <f>B5*VLOOKUP("EliteHPMultiplier",BALANCE_INPUTS!$B$4:$C$18,2,FALSE)</f>
        <v>14400</v>
      </c>
      <c r="F5" s="13">
        <f>B5*VLOOKUP("BossHPMultiplier",BALANCE_INPUTS!$B$4:$C$18,2,FALSE)</f>
        <v>144000</v>
      </c>
      <c r="G5" s="14">
        <f>ROUND(VLOOKUP("BaseMobCount",BALANCE_INPUTS!$B$4:$C$18,2,FALSE)*POWER(VLOOKUP("MobCountGrowth",BALANCE_INPUTS!$B$4:$C$18,2,FALSE),A5-1),0)</f>
        <v>45</v>
      </c>
      <c r="H5" s="13">
        <f t="shared" si="0"/>
        <v>54000</v>
      </c>
      <c r="I5" s="13">
        <f>B5/VLOOKUP("TargetTTK_Normal",BALANCE_INPUTS!$B$4:$C$18,2,FALSE)</f>
        <v>750</v>
      </c>
      <c r="J5" t="str">
        <f t="shared" si="1"/>
        <v/>
      </c>
    </row>
    <row r="6" spans="1:10" x14ac:dyDescent="0.3">
      <c r="A6">
        <f>3</f>
        <v>3</v>
      </c>
      <c r="B6" s="13">
        <f>VLOOKUP("BaseHP",BALANCE_INPUTS!$B$4:$C$18,2,FALSE)*POWER(VLOOKUP("GrowthRate",BALANCE_INPUTS!$B$4:$C$18,2,FALSE),A6-1)</f>
        <v>1440</v>
      </c>
      <c r="C6" s="13">
        <f>B6*VLOOKUP("FastHPMultiplier",BALANCE_INPUTS!$B$4:$C$18,2,FALSE)</f>
        <v>1007.9999999999999</v>
      </c>
      <c r="D6" s="13">
        <f>B6*VLOOKUP("TankHPMultiplier",BALANCE_INPUTS!$B$4:$C$18,2,FALSE)</f>
        <v>4320</v>
      </c>
      <c r="E6" s="13">
        <f>B6*VLOOKUP("EliteHPMultiplier",BALANCE_INPUTS!$B$4:$C$18,2,FALSE)</f>
        <v>17280</v>
      </c>
      <c r="F6" s="13">
        <f>B6*VLOOKUP("BossHPMultiplier",BALANCE_INPUTS!$B$4:$C$18,2,FALSE)</f>
        <v>172800</v>
      </c>
      <c r="G6" s="14">
        <f>ROUND(VLOOKUP("BaseMobCount",BALANCE_INPUTS!$B$4:$C$18,2,FALSE)*POWER(VLOOKUP("MobCountGrowth",BALANCE_INPUTS!$B$4:$C$18,2,FALSE),A6-1),0)</f>
        <v>68</v>
      </c>
      <c r="H6" s="13">
        <f t="shared" si="0"/>
        <v>97920</v>
      </c>
      <c r="I6" s="13">
        <f>B6/VLOOKUP("TargetTTK_Normal",BALANCE_INPUTS!$B$4:$C$18,2,FALSE)</f>
        <v>900</v>
      </c>
      <c r="J6" t="str">
        <f t="shared" si="1"/>
        <v/>
      </c>
    </row>
    <row r="7" spans="1:10" x14ac:dyDescent="0.3">
      <c r="A7">
        <f>4</f>
        <v>4</v>
      </c>
      <c r="B7" s="13">
        <f>VLOOKUP("BaseHP",BALANCE_INPUTS!$B$4:$C$18,2,FALSE)*POWER(VLOOKUP("GrowthRate",BALANCE_INPUTS!$B$4:$C$18,2,FALSE),A7-1)</f>
        <v>1728</v>
      </c>
      <c r="C7" s="13">
        <f>B7*VLOOKUP("FastHPMultiplier",BALANCE_INPUTS!$B$4:$C$18,2,FALSE)</f>
        <v>1209.5999999999999</v>
      </c>
      <c r="D7" s="13">
        <f>B7*VLOOKUP("TankHPMultiplier",BALANCE_INPUTS!$B$4:$C$18,2,FALSE)</f>
        <v>5184</v>
      </c>
      <c r="E7" s="13">
        <f>B7*VLOOKUP("EliteHPMultiplier",BALANCE_INPUTS!$B$4:$C$18,2,FALSE)</f>
        <v>20736</v>
      </c>
      <c r="F7" s="13">
        <f>B7*VLOOKUP("BossHPMultiplier",BALANCE_INPUTS!$B$4:$C$18,2,FALSE)</f>
        <v>207360</v>
      </c>
      <c r="G7" s="14">
        <f>ROUND(VLOOKUP("BaseMobCount",BALANCE_INPUTS!$B$4:$C$18,2,FALSE)*POWER(VLOOKUP("MobCountGrowth",BALANCE_INPUTS!$B$4:$C$18,2,FALSE),A7-1),0)</f>
        <v>101</v>
      </c>
      <c r="H7" s="13">
        <f t="shared" si="0"/>
        <v>174528</v>
      </c>
      <c r="I7" s="13">
        <f>B7/VLOOKUP("TargetTTK_Normal",BALANCE_INPUTS!$B$4:$C$18,2,FALSE)</f>
        <v>1080</v>
      </c>
      <c r="J7" t="str">
        <f t="shared" si="1"/>
        <v/>
      </c>
    </row>
    <row r="8" spans="1:10" x14ac:dyDescent="0.3">
      <c r="A8">
        <f>5</f>
        <v>5</v>
      </c>
      <c r="B8" s="13">
        <f>VLOOKUP("BaseHP",BALANCE_INPUTS!$B$4:$C$18,2,FALSE)*POWER(VLOOKUP("GrowthRate",BALANCE_INPUTS!$B$4:$C$18,2,FALSE),A8-1)</f>
        <v>2073.6</v>
      </c>
      <c r="C8" s="13">
        <f>B8*VLOOKUP("FastHPMultiplier",BALANCE_INPUTS!$B$4:$C$18,2,FALSE)</f>
        <v>1451.5199999999998</v>
      </c>
      <c r="D8" s="13">
        <f>B8*VLOOKUP("TankHPMultiplier",BALANCE_INPUTS!$B$4:$C$18,2,FALSE)</f>
        <v>6220.7999999999993</v>
      </c>
      <c r="E8" s="13">
        <f>B8*VLOOKUP("EliteHPMultiplier",BALANCE_INPUTS!$B$4:$C$18,2,FALSE)</f>
        <v>24883.199999999997</v>
      </c>
      <c r="F8" s="13">
        <f>B8*VLOOKUP("BossHPMultiplier",BALANCE_INPUTS!$B$4:$C$18,2,FALSE)</f>
        <v>248832</v>
      </c>
      <c r="G8" s="14">
        <f>ROUND(VLOOKUP("BaseMobCount",BALANCE_INPUTS!$B$4:$C$18,2,FALSE)*POWER(VLOOKUP("MobCountGrowth",BALANCE_INPUTS!$B$4:$C$18,2,FALSE),A8-1),0)</f>
        <v>152</v>
      </c>
      <c r="H8" s="13">
        <f t="shared" si="0"/>
        <v>315187.20000000001</v>
      </c>
      <c r="I8" s="13">
        <f>B8/VLOOKUP("TargetTTK_Normal",BALANCE_INPUTS!$B$4:$C$18,2,FALSE)</f>
        <v>1295.9999999999998</v>
      </c>
      <c r="J8" t="str">
        <f t="shared" si="1"/>
        <v>Elite pressure</v>
      </c>
    </row>
    <row r="9" spans="1:10" x14ac:dyDescent="0.3">
      <c r="A9">
        <f>6</f>
        <v>6</v>
      </c>
      <c r="B9" s="13">
        <f>VLOOKUP("BaseHP",BALANCE_INPUTS!$B$4:$C$18,2,FALSE)*POWER(VLOOKUP("GrowthRate",BALANCE_INPUTS!$B$4:$C$18,2,FALSE),A9-1)</f>
        <v>2488.3199999999997</v>
      </c>
      <c r="C9" s="13">
        <f>B9*VLOOKUP("FastHPMultiplier",BALANCE_INPUTS!$B$4:$C$18,2,FALSE)</f>
        <v>1741.8239999999996</v>
      </c>
      <c r="D9" s="13">
        <f>B9*VLOOKUP("TankHPMultiplier",BALANCE_INPUTS!$B$4:$C$18,2,FALSE)</f>
        <v>7464.9599999999991</v>
      </c>
      <c r="E9" s="13">
        <f>B9*VLOOKUP("EliteHPMultiplier",BALANCE_INPUTS!$B$4:$C$18,2,FALSE)</f>
        <v>29859.839999999997</v>
      </c>
      <c r="F9" s="13">
        <f>B9*VLOOKUP("BossHPMultiplier",BALANCE_INPUTS!$B$4:$C$18,2,FALSE)</f>
        <v>298598.39999999997</v>
      </c>
      <c r="G9" s="14">
        <f>ROUND(VLOOKUP("BaseMobCount",BALANCE_INPUTS!$B$4:$C$18,2,FALSE)*POWER(VLOOKUP("MobCountGrowth",BALANCE_INPUTS!$B$4:$C$18,2,FALSE),A9-1),0)</f>
        <v>228</v>
      </c>
      <c r="H9" s="13">
        <f t="shared" si="0"/>
        <v>567336.95999999996</v>
      </c>
      <c r="I9" s="13">
        <f>B9/VLOOKUP("TargetTTK_Normal",BALANCE_INPUTS!$B$4:$C$18,2,FALSE)</f>
        <v>1555.1999999999998</v>
      </c>
      <c r="J9" t="str">
        <f t="shared" si="1"/>
        <v/>
      </c>
    </row>
    <row r="10" spans="1:10" x14ac:dyDescent="0.3">
      <c r="A10">
        <f>7</f>
        <v>7</v>
      </c>
      <c r="B10" s="13">
        <f>VLOOKUP("BaseHP",BALANCE_INPUTS!$B$4:$C$18,2,FALSE)*POWER(VLOOKUP("GrowthRate",BALANCE_INPUTS!$B$4:$C$18,2,FALSE),A10-1)</f>
        <v>2985.9839999999999</v>
      </c>
      <c r="C10" s="13">
        <f>B10*VLOOKUP("FastHPMultiplier",BALANCE_INPUTS!$B$4:$C$18,2,FALSE)</f>
        <v>2090.1887999999999</v>
      </c>
      <c r="D10" s="13">
        <f>B10*VLOOKUP("TankHPMultiplier",BALANCE_INPUTS!$B$4:$C$18,2,FALSE)</f>
        <v>8957.9519999999993</v>
      </c>
      <c r="E10" s="13">
        <f>B10*VLOOKUP("EliteHPMultiplier",BALANCE_INPUTS!$B$4:$C$18,2,FALSE)</f>
        <v>35831.807999999997</v>
      </c>
      <c r="F10" s="13">
        <f>B10*VLOOKUP("BossHPMultiplier",BALANCE_INPUTS!$B$4:$C$18,2,FALSE)</f>
        <v>358318.08000000002</v>
      </c>
      <c r="G10" s="14">
        <f>ROUND(VLOOKUP("BaseMobCount",BALANCE_INPUTS!$B$4:$C$18,2,FALSE)*POWER(VLOOKUP("MobCountGrowth",BALANCE_INPUTS!$B$4:$C$18,2,FALSE),A10-1),0)</f>
        <v>342</v>
      </c>
      <c r="H10" s="13">
        <f t="shared" si="0"/>
        <v>1021206.5279999999</v>
      </c>
      <c r="I10" s="13">
        <f>B10/VLOOKUP("TargetTTK_Normal",BALANCE_INPUTS!$B$4:$C$18,2,FALSE)</f>
        <v>1866.2399999999998</v>
      </c>
      <c r="J10" t="str">
        <f t="shared" si="1"/>
        <v/>
      </c>
    </row>
    <row r="11" spans="1:10" x14ac:dyDescent="0.3">
      <c r="A11">
        <f>8</f>
        <v>8</v>
      </c>
      <c r="B11" s="13">
        <f>VLOOKUP("BaseHP",BALANCE_INPUTS!$B$4:$C$18,2,FALSE)*POWER(VLOOKUP("GrowthRate",BALANCE_INPUTS!$B$4:$C$18,2,FALSE),A11-1)</f>
        <v>3583.1807999999996</v>
      </c>
      <c r="C11" s="13">
        <f>B11*VLOOKUP("FastHPMultiplier",BALANCE_INPUTS!$B$4:$C$18,2,FALSE)</f>
        <v>2508.2265599999996</v>
      </c>
      <c r="D11" s="13">
        <f>B11*VLOOKUP("TankHPMultiplier",BALANCE_INPUTS!$B$4:$C$18,2,FALSE)</f>
        <v>10749.542399999998</v>
      </c>
      <c r="E11" s="13">
        <f>B11*VLOOKUP("EliteHPMultiplier",BALANCE_INPUTS!$B$4:$C$18,2,FALSE)</f>
        <v>42998.169599999994</v>
      </c>
      <c r="F11" s="13">
        <f>B11*VLOOKUP("BossHPMultiplier",BALANCE_INPUTS!$B$4:$C$18,2,FALSE)</f>
        <v>429981.69599999994</v>
      </c>
      <c r="G11" s="14">
        <f>ROUND(VLOOKUP("BaseMobCount",BALANCE_INPUTS!$B$4:$C$18,2,FALSE)*POWER(VLOOKUP("MobCountGrowth",BALANCE_INPUTS!$B$4:$C$18,2,FALSE),A11-1),0)</f>
        <v>513</v>
      </c>
      <c r="H11" s="13">
        <f t="shared" si="0"/>
        <v>1838171.7503999998</v>
      </c>
      <c r="I11" s="13">
        <f>B11/VLOOKUP("TargetTTK_Normal",BALANCE_INPUTS!$B$4:$C$18,2,FALSE)</f>
        <v>2239.4879999999998</v>
      </c>
      <c r="J11" t="str">
        <f t="shared" si="1"/>
        <v/>
      </c>
    </row>
    <row r="12" spans="1:10" x14ac:dyDescent="0.3">
      <c r="A12">
        <f>9</f>
        <v>9</v>
      </c>
      <c r="B12" s="13">
        <f>VLOOKUP("BaseHP",BALANCE_INPUTS!$B$4:$C$18,2,FALSE)*POWER(VLOOKUP("GrowthRate",BALANCE_INPUTS!$B$4:$C$18,2,FALSE),A12-1)</f>
        <v>4299.8169599999992</v>
      </c>
      <c r="C12" s="13">
        <f>B12*VLOOKUP("FastHPMultiplier",BALANCE_INPUTS!$B$4:$C$18,2,FALSE)</f>
        <v>3009.8718719999993</v>
      </c>
      <c r="D12" s="13">
        <f>B12*VLOOKUP("TankHPMultiplier",BALANCE_INPUTS!$B$4:$C$18,2,FALSE)</f>
        <v>12899.450879999997</v>
      </c>
      <c r="E12" s="13">
        <f>B12*VLOOKUP("EliteHPMultiplier",BALANCE_INPUTS!$B$4:$C$18,2,FALSE)</f>
        <v>51597.803519999987</v>
      </c>
      <c r="F12" s="13">
        <f>B12*VLOOKUP("BossHPMultiplier",BALANCE_INPUTS!$B$4:$C$18,2,FALSE)</f>
        <v>515978.03519999993</v>
      </c>
      <c r="G12" s="14">
        <f>ROUND(VLOOKUP("BaseMobCount",BALANCE_INPUTS!$B$4:$C$18,2,FALSE)*POWER(VLOOKUP("MobCountGrowth",BALANCE_INPUTS!$B$4:$C$18,2,FALSE),A12-1),0)</f>
        <v>769</v>
      </c>
      <c r="H12" s="13">
        <f t="shared" si="0"/>
        <v>3306559.2422399996</v>
      </c>
      <c r="I12" s="13">
        <f>B12/VLOOKUP("TargetTTK_Normal",BALANCE_INPUTS!$B$4:$C$18,2,FALSE)</f>
        <v>2687.3855999999992</v>
      </c>
      <c r="J12" t="str">
        <f t="shared" si="1"/>
        <v/>
      </c>
    </row>
    <row r="13" spans="1:10" x14ac:dyDescent="0.3">
      <c r="A13">
        <f>10</f>
        <v>10</v>
      </c>
      <c r="B13" s="13">
        <f>VLOOKUP("BaseHP",BALANCE_INPUTS!$B$4:$C$18,2,FALSE)*POWER(VLOOKUP("GrowthRate",BALANCE_INPUTS!$B$4:$C$18,2,FALSE),A13-1)</f>
        <v>5159.7803519999998</v>
      </c>
      <c r="C13" s="13">
        <f>B13*VLOOKUP("FastHPMultiplier",BALANCE_INPUTS!$B$4:$C$18,2,FALSE)</f>
        <v>3611.8462463999995</v>
      </c>
      <c r="D13" s="13">
        <f>B13*VLOOKUP("TankHPMultiplier",BALANCE_INPUTS!$B$4:$C$18,2,FALSE)</f>
        <v>15479.341055999999</v>
      </c>
      <c r="E13" s="13">
        <f>B13*VLOOKUP("EliteHPMultiplier",BALANCE_INPUTS!$B$4:$C$18,2,FALSE)</f>
        <v>61917.364223999997</v>
      </c>
      <c r="F13" s="13">
        <f>B13*VLOOKUP("BossHPMultiplier",BALANCE_INPUTS!$B$4:$C$18,2,FALSE)</f>
        <v>619173.64223999996</v>
      </c>
      <c r="G13" s="14">
        <f>ROUND(VLOOKUP("BaseMobCount",BALANCE_INPUTS!$B$4:$C$18,2,FALSE)*POWER(VLOOKUP("MobCountGrowth",BALANCE_INPUTS!$B$4:$C$18,2,FALSE),A13-1),0)</f>
        <v>1153</v>
      </c>
      <c r="H13" s="13">
        <f t="shared" si="0"/>
        <v>5949226.7458560001</v>
      </c>
      <c r="I13" s="13">
        <f>B13/VLOOKUP("TargetTTK_Normal",BALANCE_INPUTS!$B$4:$C$18,2,FALSE)</f>
        <v>3224.8627199999996</v>
      </c>
      <c r="J13" t="str">
        <f t="shared" si="1"/>
        <v>Boss checkpoint</v>
      </c>
    </row>
    <row r="14" spans="1:10" x14ac:dyDescent="0.3">
      <c r="A14">
        <f>11</f>
        <v>11</v>
      </c>
      <c r="B14" s="13">
        <f>VLOOKUP("BaseHP",BALANCE_INPUTS!$B$4:$C$18,2,FALSE)*POWER(VLOOKUP("GrowthRate",BALANCE_INPUTS!$B$4:$C$18,2,FALSE),A14-1)</f>
        <v>6191.7364223999994</v>
      </c>
      <c r="C14" s="13">
        <f>B14*VLOOKUP("FastHPMultiplier",BALANCE_INPUTS!$B$4:$C$18,2,FALSE)</f>
        <v>4334.2154956799995</v>
      </c>
      <c r="D14" s="13">
        <f>B14*VLOOKUP("TankHPMultiplier",BALANCE_INPUTS!$B$4:$C$18,2,FALSE)</f>
        <v>18575.2092672</v>
      </c>
      <c r="E14" s="13">
        <f>B14*VLOOKUP("EliteHPMultiplier",BALANCE_INPUTS!$B$4:$C$18,2,FALSE)</f>
        <v>74300.8370688</v>
      </c>
      <c r="F14" s="13">
        <f>B14*VLOOKUP("BossHPMultiplier",BALANCE_INPUTS!$B$4:$C$18,2,FALSE)</f>
        <v>743008.37068799988</v>
      </c>
      <c r="G14" s="14">
        <f>ROUND(VLOOKUP("BaseMobCount",BALANCE_INPUTS!$B$4:$C$18,2,FALSE)*POWER(VLOOKUP("MobCountGrowth",BALANCE_INPUTS!$B$4:$C$18,2,FALSE),A14-1),0)</f>
        <v>1730</v>
      </c>
      <c r="H14" s="13">
        <f t="shared" si="0"/>
        <v>10711704.010751998</v>
      </c>
      <c r="I14" s="13">
        <f>B14/VLOOKUP("TargetTTK_Normal",BALANCE_INPUTS!$B$4:$C$18,2,FALSE)</f>
        <v>3869.8352639999994</v>
      </c>
      <c r="J14" t="str">
        <f t="shared" si="1"/>
        <v/>
      </c>
    </row>
    <row r="15" spans="1:10" x14ac:dyDescent="0.3">
      <c r="A15">
        <f>12</f>
        <v>12</v>
      </c>
      <c r="B15" s="13">
        <f>VLOOKUP("BaseHP",BALANCE_INPUTS!$B$4:$C$18,2,FALSE)*POWER(VLOOKUP("GrowthRate",BALANCE_INPUTS!$B$4:$C$18,2,FALSE),A15-1)</f>
        <v>7430.0837068799983</v>
      </c>
      <c r="C15" s="13">
        <f>B15*VLOOKUP("FastHPMultiplier",BALANCE_INPUTS!$B$4:$C$18,2,FALSE)</f>
        <v>5201.0585948159987</v>
      </c>
      <c r="D15" s="13">
        <f>B15*VLOOKUP("TankHPMultiplier",BALANCE_INPUTS!$B$4:$C$18,2,FALSE)</f>
        <v>22290.251120639994</v>
      </c>
      <c r="E15" s="13">
        <f>B15*VLOOKUP("EliteHPMultiplier",BALANCE_INPUTS!$B$4:$C$18,2,FALSE)</f>
        <v>89161.004482559976</v>
      </c>
      <c r="F15" s="13">
        <f>B15*VLOOKUP("BossHPMultiplier",BALANCE_INPUTS!$B$4:$C$18,2,FALSE)</f>
        <v>891610.04482559976</v>
      </c>
      <c r="G15" s="14">
        <f>ROUND(VLOOKUP("BaseMobCount",BALANCE_INPUTS!$B$4:$C$18,2,FALSE)*POWER(VLOOKUP("MobCountGrowth",BALANCE_INPUTS!$B$4:$C$18,2,FALSE),A15-1),0)</f>
        <v>2595</v>
      </c>
      <c r="H15" s="13">
        <f t="shared" si="0"/>
        <v>19281067.219353594</v>
      </c>
      <c r="I15" s="13">
        <f>B15/VLOOKUP("TargetTTK_Normal",BALANCE_INPUTS!$B$4:$C$18,2,FALSE)</f>
        <v>4643.8023167999991</v>
      </c>
      <c r="J15" t="str">
        <f t="shared" si="1"/>
        <v/>
      </c>
    </row>
    <row r="16" spans="1:10" x14ac:dyDescent="0.3">
      <c r="A16">
        <f>13</f>
        <v>13</v>
      </c>
      <c r="B16" s="13">
        <f>VLOOKUP("BaseHP",BALANCE_INPUTS!$B$4:$C$18,2,FALSE)*POWER(VLOOKUP("GrowthRate",BALANCE_INPUTS!$B$4:$C$18,2,FALSE),A16-1)</f>
        <v>8916.1004482559983</v>
      </c>
      <c r="C16" s="13">
        <f>B16*VLOOKUP("FastHPMultiplier",BALANCE_INPUTS!$B$4:$C$18,2,FALSE)</f>
        <v>6241.2703137791987</v>
      </c>
      <c r="D16" s="13">
        <f>B16*VLOOKUP("TankHPMultiplier",BALANCE_INPUTS!$B$4:$C$18,2,FALSE)</f>
        <v>26748.301344767995</v>
      </c>
      <c r="E16" s="13">
        <f>B16*VLOOKUP("EliteHPMultiplier",BALANCE_INPUTS!$B$4:$C$18,2,FALSE)</f>
        <v>106993.20537907198</v>
      </c>
      <c r="F16" s="13">
        <f>B16*VLOOKUP("BossHPMultiplier",BALANCE_INPUTS!$B$4:$C$18,2,FALSE)</f>
        <v>1069932.0537907197</v>
      </c>
      <c r="G16" s="14">
        <f>ROUND(VLOOKUP("BaseMobCount",BALANCE_INPUTS!$B$4:$C$18,2,FALSE)*POWER(VLOOKUP("MobCountGrowth",BALANCE_INPUTS!$B$4:$C$18,2,FALSE),A16-1),0)</f>
        <v>3892</v>
      </c>
      <c r="H16" s="13">
        <f t="shared" si="0"/>
        <v>34701462.944612347</v>
      </c>
      <c r="I16" s="13">
        <f>B16/VLOOKUP("TargetTTK_Normal",BALANCE_INPUTS!$B$4:$C$18,2,FALSE)</f>
        <v>5572.5627801599985</v>
      </c>
      <c r="J16" t="str">
        <f t="shared" si="1"/>
        <v/>
      </c>
    </row>
    <row r="17" spans="1:10" x14ac:dyDescent="0.3">
      <c r="A17">
        <f>14</f>
        <v>14</v>
      </c>
      <c r="B17" s="13">
        <f>VLOOKUP("BaseHP",BALANCE_INPUTS!$B$4:$C$18,2,FALSE)*POWER(VLOOKUP("GrowthRate",BALANCE_INPUTS!$B$4:$C$18,2,FALSE),A17-1)</f>
        <v>10699.320537907199</v>
      </c>
      <c r="C17" s="13">
        <f>B17*VLOOKUP("FastHPMultiplier",BALANCE_INPUTS!$B$4:$C$18,2,FALSE)</f>
        <v>7489.5243765350388</v>
      </c>
      <c r="D17" s="13">
        <f>B17*VLOOKUP("TankHPMultiplier",BALANCE_INPUTS!$B$4:$C$18,2,FALSE)</f>
        <v>32097.961613721596</v>
      </c>
      <c r="E17" s="13">
        <f>B17*VLOOKUP("EliteHPMultiplier",BALANCE_INPUTS!$B$4:$C$18,2,FALSE)</f>
        <v>128391.84645488638</v>
      </c>
      <c r="F17" s="13">
        <f>B17*VLOOKUP("BossHPMultiplier",BALANCE_INPUTS!$B$4:$C$18,2,FALSE)</f>
        <v>1283918.4645488639</v>
      </c>
      <c r="G17" s="14">
        <f>ROUND(VLOOKUP("BaseMobCount",BALANCE_INPUTS!$B$4:$C$18,2,FALSE)*POWER(VLOOKUP("MobCountGrowth",BALANCE_INPUTS!$B$4:$C$18,2,FALSE),A17-1),0)</f>
        <v>5839</v>
      </c>
      <c r="H17" s="13">
        <f t="shared" si="0"/>
        <v>62473332.620840132</v>
      </c>
      <c r="I17" s="13">
        <f>B17/VLOOKUP("TargetTTK_Normal",BALANCE_INPUTS!$B$4:$C$18,2,FALSE)</f>
        <v>6687.0753361919988</v>
      </c>
      <c r="J17" t="str">
        <f t="shared" si="1"/>
        <v/>
      </c>
    </row>
    <row r="18" spans="1:10" x14ac:dyDescent="0.3">
      <c r="A18">
        <f>15</f>
        <v>15</v>
      </c>
      <c r="B18" s="13">
        <f>VLOOKUP("BaseHP",BALANCE_INPUTS!$B$4:$C$18,2,FALSE)*POWER(VLOOKUP("GrowthRate",BALANCE_INPUTS!$B$4:$C$18,2,FALSE),A18-1)</f>
        <v>12839.184645488636</v>
      </c>
      <c r="C18" s="13">
        <f>B18*VLOOKUP("FastHPMultiplier",BALANCE_INPUTS!$B$4:$C$18,2,FALSE)</f>
        <v>8987.4292518420443</v>
      </c>
      <c r="D18" s="13">
        <f>B18*VLOOKUP("TankHPMultiplier",BALANCE_INPUTS!$B$4:$C$18,2,FALSE)</f>
        <v>38517.553936465905</v>
      </c>
      <c r="E18" s="13">
        <f>B18*VLOOKUP("EliteHPMultiplier",BALANCE_INPUTS!$B$4:$C$18,2,FALSE)</f>
        <v>154070.21574586362</v>
      </c>
      <c r="F18" s="13">
        <f>B18*VLOOKUP("BossHPMultiplier",BALANCE_INPUTS!$B$4:$C$18,2,FALSE)</f>
        <v>1540702.1574586364</v>
      </c>
      <c r="G18" s="14">
        <f>ROUND(VLOOKUP("BaseMobCount",BALANCE_INPUTS!$B$4:$C$18,2,FALSE)*POWER(VLOOKUP("MobCountGrowth",BALANCE_INPUTS!$B$4:$C$18,2,FALSE),A18-1),0)</f>
        <v>8758</v>
      </c>
      <c r="H18" s="13">
        <f t="shared" si="0"/>
        <v>112445579.12518948</v>
      </c>
      <c r="I18" s="13">
        <f>B18/VLOOKUP("TargetTTK_Normal",BALANCE_INPUTS!$B$4:$C$18,2,FALSE)</f>
        <v>8024.4904034303972</v>
      </c>
      <c r="J18" t="str">
        <f t="shared" si="1"/>
        <v>Elite pressure</v>
      </c>
    </row>
    <row r="19" spans="1:10" x14ac:dyDescent="0.3">
      <c r="A19">
        <f>16</f>
        <v>16</v>
      </c>
      <c r="B19" s="13">
        <f>VLOOKUP("BaseHP",BALANCE_INPUTS!$B$4:$C$18,2,FALSE)*POWER(VLOOKUP("GrowthRate",BALANCE_INPUTS!$B$4:$C$18,2,FALSE),A19-1)</f>
        <v>15407.021574586364</v>
      </c>
      <c r="C19" s="13">
        <f>B19*VLOOKUP("FastHPMultiplier",BALANCE_INPUTS!$B$4:$C$18,2,FALSE)</f>
        <v>10784.915102210454</v>
      </c>
      <c r="D19" s="13">
        <f>B19*VLOOKUP("TankHPMultiplier",BALANCE_INPUTS!$B$4:$C$18,2,FALSE)</f>
        <v>46221.064723759089</v>
      </c>
      <c r="E19" s="13">
        <f>B19*VLOOKUP("EliteHPMultiplier",BALANCE_INPUTS!$B$4:$C$18,2,FALSE)</f>
        <v>184884.25889503636</v>
      </c>
      <c r="F19" s="13">
        <f>B19*VLOOKUP("BossHPMultiplier",BALANCE_INPUTS!$B$4:$C$18,2,FALSE)</f>
        <v>1848842.5889503637</v>
      </c>
      <c r="G19" s="14">
        <f>ROUND(VLOOKUP("BaseMobCount",BALANCE_INPUTS!$B$4:$C$18,2,FALSE)*POWER(VLOOKUP("MobCountGrowth",BALANCE_INPUTS!$B$4:$C$18,2,FALSE),A19-1),0)</f>
        <v>13137</v>
      </c>
      <c r="H19" s="13">
        <f t="shared" si="0"/>
        <v>202402042.42534107</v>
      </c>
      <c r="I19" s="13">
        <f>B19/VLOOKUP("TargetTTK_Normal",BALANCE_INPUTS!$B$4:$C$18,2,FALSE)</f>
        <v>9629.3884841164763</v>
      </c>
      <c r="J19" t="str">
        <f t="shared" si="1"/>
        <v/>
      </c>
    </row>
    <row r="20" spans="1:10" x14ac:dyDescent="0.3">
      <c r="A20">
        <f>17</f>
        <v>17</v>
      </c>
      <c r="B20" s="13">
        <f>VLOOKUP("BaseHP",BALANCE_INPUTS!$B$4:$C$18,2,FALSE)*POWER(VLOOKUP("GrowthRate",BALANCE_INPUTS!$B$4:$C$18,2,FALSE),A20-1)</f>
        <v>18488.425889503636</v>
      </c>
      <c r="C20" s="13">
        <f>B20*VLOOKUP("FastHPMultiplier",BALANCE_INPUTS!$B$4:$C$18,2,FALSE)</f>
        <v>12941.898122652545</v>
      </c>
      <c r="D20" s="13">
        <f>B20*VLOOKUP("TankHPMultiplier",BALANCE_INPUTS!$B$4:$C$18,2,FALSE)</f>
        <v>55465.277668510913</v>
      </c>
      <c r="E20" s="13">
        <f>B20*VLOOKUP("EliteHPMultiplier",BALANCE_INPUTS!$B$4:$C$18,2,FALSE)</f>
        <v>221861.11067404365</v>
      </c>
      <c r="F20" s="13">
        <f>B20*VLOOKUP("BossHPMultiplier",BALANCE_INPUTS!$B$4:$C$18,2,FALSE)</f>
        <v>2218611.1067404365</v>
      </c>
      <c r="G20" s="14">
        <f>ROUND(VLOOKUP("BaseMobCount",BALANCE_INPUTS!$B$4:$C$18,2,FALSE)*POWER(VLOOKUP("MobCountGrowth",BALANCE_INPUTS!$B$4:$C$18,2,FALSE),A20-1),0)</f>
        <v>19705</v>
      </c>
      <c r="H20" s="13">
        <f t="shared" si="0"/>
        <v>364314432.15266913</v>
      </c>
      <c r="I20" s="13">
        <f>B20/VLOOKUP("TargetTTK_Normal",BALANCE_INPUTS!$B$4:$C$18,2,FALSE)</f>
        <v>11555.266180939772</v>
      </c>
      <c r="J20" t="str">
        <f t="shared" si="1"/>
        <v/>
      </c>
    </row>
    <row r="21" spans="1:10" x14ac:dyDescent="0.3">
      <c r="A21">
        <f>18</f>
        <v>18</v>
      </c>
      <c r="B21" s="13">
        <f>VLOOKUP("BaseHP",BALANCE_INPUTS!$B$4:$C$18,2,FALSE)*POWER(VLOOKUP("GrowthRate",BALANCE_INPUTS!$B$4:$C$18,2,FALSE),A21-1)</f>
        <v>22186.111067404363</v>
      </c>
      <c r="C21" s="13">
        <f>B21*VLOOKUP("FastHPMultiplier",BALANCE_INPUTS!$B$4:$C$18,2,FALSE)</f>
        <v>15530.277747183052</v>
      </c>
      <c r="D21" s="13">
        <f>B21*VLOOKUP("TankHPMultiplier",BALANCE_INPUTS!$B$4:$C$18,2,FALSE)</f>
        <v>66558.333202213093</v>
      </c>
      <c r="E21" s="13">
        <f>B21*VLOOKUP("EliteHPMultiplier",BALANCE_INPUTS!$B$4:$C$18,2,FALSE)</f>
        <v>266233.33280885237</v>
      </c>
      <c r="F21" s="13">
        <f>B21*VLOOKUP("BossHPMultiplier",BALANCE_INPUTS!$B$4:$C$18,2,FALSE)</f>
        <v>2662333.3280885234</v>
      </c>
      <c r="G21" s="14">
        <f>ROUND(VLOOKUP("BaseMobCount",BALANCE_INPUTS!$B$4:$C$18,2,FALSE)*POWER(VLOOKUP("MobCountGrowth",BALANCE_INPUTS!$B$4:$C$18,2,FALSE),A21-1),0)</f>
        <v>29558</v>
      </c>
      <c r="H21" s="13">
        <f t="shared" si="0"/>
        <v>655777070.93033814</v>
      </c>
      <c r="I21" s="13">
        <f>B21/VLOOKUP("TargetTTK_Normal",BALANCE_INPUTS!$B$4:$C$18,2,FALSE)</f>
        <v>13866.319417127726</v>
      </c>
      <c r="J21" t="str">
        <f t="shared" si="1"/>
        <v/>
      </c>
    </row>
    <row r="22" spans="1:10" x14ac:dyDescent="0.3">
      <c r="A22">
        <f>19</f>
        <v>19</v>
      </c>
      <c r="B22" s="13">
        <f>VLOOKUP("BaseHP",BALANCE_INPUTS!$B$4:$C$18,2,FALSE)*POWER(VLOOKUP("GrowthRate",BALANCE_INPUTS!$B$4:$C$18,2,FALSE),A22-1)</f>
        <v>26623.333280885236</v>
      </c>
      <c r="C22" s="13">
        <f>B22*VLOOKUP("FastHPMultiplier",BALANCE_INPUTS!$B$4:$C$18,2,FALSE)</f>
        <v>18636.333296619665</v>
      </c>
      <c r="D22" s="13">
        <f>B22*VLOOKUP("TankHPMultiplier",BALANCE_INPUTS!$B$4:$C$18,2,FALSE)</f>
        <v>79869.999842655699</v>
      </c>
      <c r="E22" s="13">
        <f>B22*VLOOKUP("EliteHPMultiplier",BALANCE_INPUTS!$B$4:$C$18,2,FALSE)</f>
        <v>319479.9993706228</v>
      </c>
      <c r="F22" s="13">
        <f>B22*VLOOKUP("BossHPMultiplier",BALANCE_INPUTS!$B$4:$C$18,2,FALSE)</f>
        <v>3194799.9937062282</v>
      </c>
      <c r="G22" s="14">
        <f>ROUND(VLOOKUP("BaseMobCount",BALANCE_INPUTS!$B$4:$C$18,2,FALSE)*POWER(VLOOKUP("MobCountGrowth",BALANCE_INPUTS!$B$4:$C$18,2,FALSE),A22-1),0)</f>
        <v>44337</v>
      </c>
      <c r="H22" s="13">
        <f t="shared" si="0"/>
        <v>1180398727.6746087</v>
      </c>
      <c r="I22" s="13">
        <f>B22/VLOOKUP("TargetTTK_Normal",BALANCE_INPUTS!$B$4:$C$18,2,FALSE)</f>
        <v>16639.58330055327</v>
      </c>
      <c r="J22" t="str">
        <f t="shared" si="1"/>
        <v/>
      </c>
    </row>
    <row r="23" spans="1:10" x14ac:dyDescent="0.3">
      <c r="A23">
        <f>20</f>
        <v>20</v>
      </c>
      <c r="B23" s="13">
        <f>VLOOKUP("BaseHP",BALANCE_INPUTS!$B$4:$C$18,2,FALSE)*POWER(VLOOKUP("GrowthRate",BALANCE_INPUTS!$B$4:$C$18,2,FALSE),A23-1)</f>
        <v>31947.999937062283</v>
      </c>
      <c r="C23" s="13">
        <f>B23*VLOOKUP("FastHPMultiplier",BALANCE_INPUTS!$B$4:$C$18,2,FALSE)</f>
        <v>22363.599955943595</v>
      </c>
      <c r="D23" s="13">
        <f>B23*VLOOKUP("TankHPMultiplier",BALANCE_INPUTS!$B$4:$C$18,2,FALSE)</f>
        <v>95843.999811186848</v>
      </c>
      <c r="E23" s="13">
        <f>B23*VLOOKUP("EliteHPMultiplier",BALANCE_INPUTS!$B$4:$C$18,2,FALSE)</f>
        <v>383375.99924474739</v>
      </c>
      <c r="F23" s="13">
        <f>B23*VLOOKUP("BossHPMultiplier",BALANCE_INPUTS!$B$4:$C$18,2,FALSE)</f>
        <v>3833759.992447474</v>
      </c>
      <c r="G23" s="14">
        <f>ROUND(VLOOKUP("BaseMobCount",BALANCE_INPUTS!$B$4:$C$18,2,FALSE)*POWER(VLOOKUP("MobCountGrowth",BALANCE_INPUTS!$B$4:$C$18,2,FALSE),A23-1),0)</f>
        <v>66505</v>
      </c>
      <c r="H23" s="13">
        <f t="shared" si="0"/>
        <v>2124701735.814327</v>
      </c>
      <c r="I23" s="13">
        <f>B23/VLOOKUP("TargetTTK_Normal",BALANCE_INPUTS!$B$4:$C$18,2,FALSE)</f>
        <v>19967.499960663925</v>
      </c>
      <c r="J23" t="str">
        <f t="shared" si="1"/>
        <v>Boss checkpoint</v>
      </c>
    </row>
    <row r="24" spans="1:10" x14ac:dyDescent="0.3">
      <c r="A24">
        <f>21</f>
        <v>21</v>
      </c>
      <c r="B24" s="13">
        <f>VLOOKUP("BaseHP",BALANCE_INPUTS!$B$4:$C$18,2,FALSE)*POWER(VLOOKUP("GrowthRate",BALANCE_INPUTS!$B$4:$C$18,2,FALSE),A24-1)</f>
        <v>38337.599924474736</v>
      </c>
      <c r="C24" s="13">
        <f>B24*VLOOKUP("FastHPMultiplier",BALANCE_INPUTS!$B$4:$C$18,2,FALSE)</f>
        <v>26836.319947132313</v>
      </c>
      <c r="D24" s="13">
        <f>B24*VLOOKUP("TankHPMultiplier",BALANCE_INPUTS!$B$4:$C$18,2,FALSE)</f>
        <v>115012.79977342421</v>
      </c>
      <c r="E24" s="13">
        <f>B24*VLOOKUP("EliteHPMultiplier",BALANCE_INPUTS!$B$4:$C$18,2,FALSE)</f>
        <v>460051.19909369684</v>
      </c>
      <c r="F24" s="13">
        <f>B24*VLOOKUP("BossHPMultiplier",BALANCE_INPUTS!$B$4:$C$18,2,FALSE)</f>
        <v>4600511.9909369685</v>
      </c>
      <c r="G24" s="14">
        <f>ROUND(VLOOKUP("BaseMobCount",BALANCE_INPUTS!$B$4:$C$18,2,FALSE)*POWER(VLOOKUP("MobCountGrowth",BALANCE_INPUTS!$B$4:$C$18,2,FALSE),A24-1),0)</f>
        <v>99758</v>
      </c>
      <c r="H24" s="13">
        <f t="shared" si="0"/>
        <v>3824482293.2657509</v>
      </c>
      <c r="I24" s="13">
        <f>B24/VLOOKUP("TargetTTK_Normal",BALANCE_INPUTS!$B$4:$C$18,2,FALSE)</f>
        <v>23960.999952796708</v>
      </c>
      <c r="J24" t="str">
        <f t="shared" si="1"/>
        <v/>
      </c>
    </row>
    <row r="25" spans="1:10" x14ac:dyDescent="0.3">
      <c r="A25">
        <f>22</f>
        <v>22</v>
      </c>
      <c r="B25" s="13">
        <f>VLOOKUP("BaseHP",BALANCE_INPUTS!$B$4:$C$18,2,FALSE)*POWER(VLOOKUP("GrowthRate",BALANCE_INPUTS!$B$4:$C$18,2,FALSE),A25-1)</f>
        <v>46005.119909369685</v>
      </c>
      <c r="C25" s="13">
        <f>B25*VLOOKUP("FastHPMultiplier",BALANCE_INPUTS!$B$4:$C$18,2,FALSE)</f>
        <v>32203.583936558778</v>
      </c>
      <c r="D25" s="13">
        <f>B25*VLOOKUP("TankHPMultiplier",BALANCE_INPUTS!$B$4:$C$18,2,FALSE)</f>
        <v>138015.35972810906</v>
      </c>
      <c r="E25" s="13">
        <f>B25*VLOOKUP("EliteHPMultiplier",BALANCE_INPUTS!$B$4:$C$18,2,FALSE)</f>
        <v>552061.43891243625</v>
      </c>
      <c r="F25" s="13">
        <f>B25*VLOOKUP("BossHPMultiplier",BALANCE_INPUTS!$B$4:$C$18,2,FALSE)</f>
        <v>5520614.3891243618</v>
      </c>
      <c r="G25" s="14">
        <f>ROUND(VLOOKUP("BaseMobCount",BALANCE_INPUTS!$B$4:$C$18,2,FALSE)*POWER(VLOOKUP("MobCountGrowth",BALANCE_INPUTS!$B$4:$C$18,2,FALSE),A25-1),0)</f>
        <v>149637</v>
      </c>
      <c r="H25" s="13">
        <f t="shared" si="0"/>
        <v>6884068127.8783512</v>
      </c>
      <c r="I25" s="13">
        <f>B25/VLOOKUP("TargetTTK_Normal",BALANCE_INPUTS!$B$4:$C$18,2,FALSE)</f>
        <v>28753.199943356052</v>
      </c>
      <c r="J25" t="str">
        <f t="shared" si="1"/>
        <v/>
      </c>
    </row>
    <row r="26" spans="1:10" x14ac:dyDescent="0.3">
      <c r="A26">
        <f>23</f>
        <v>23</v>
      </c>
      <c r="B26" s="13">
        <f>VLOOKUP("BaseHP",BALANCE_INPUTS!$B$4:$C$18,2,FALSE)*POWER(VLOOKUP("GrowthRate",BALANCE_INPUTS!$B$4:$C$18,2,FALSE),A26-1)</f>
        <v>55206.143891243613</v>
      </c>
      <c r="C26" s="13">
        <f>B26*VLOOKUP("FastHPMultiplier",BALANCE_INPUTS!$B$4:$C$18,2,FALSE)</f>
        <v>38644.300723870525</v>
      </c>
      <c r="D26" s="13">
        <f>B26*VLOOKUP("TankHPMultiplier",BALANCE_INPUTS!$B$4:$C$18,2,FALSE)</f>
        <v>165618.43167373084</v>
      </c>
      <c r="E26" s="13">
        <f>B26*VLOOKUP("EliteHPMultiplier",BALANCE_INPUTS!$B$4:$C$18,2,FALSE)</f>
        <v>662473.72669492336</v>
      </c>
      <c r="F26" s="13">
        <f>B26*VLOOKUP("BossHPMultiplier",BALANCE_INPUTS!$B$4:$C$18,2,FALSE)</f>
        <v>6624737.2669492336</v>
      </c>
      <c r="G26" s="14">
        <f>ROUND(VLOOKUP("BaseMobCount",BALANCE_INPUTS!$B$4:$C$18,2,FALSE)*POWER(VLOOKUP("MobCountGrowth",BALANCE_INPUTS!$B$4:$C$18,2,FALSE),A26-1),0)</f>
        <v>224455</v>
      </c>
      <c r="H26" s="13">
        <f t="shared" si="0"/>
        <v>12391295027.109085</v>
      </c>
      <c r="I26" s="13">
        <f>B26/VLOOKUP("TargetTTK_Normal",BALANCE_INPUTS!$B$4:$C$18,2,FALSE)</f>
        <v>34503.839932027258</v>
      </c>
      <c r="J26" t="str">
        <f t="shared" si="1"/>
        <v/>
      </c>
    </row>
    <row r="27" spans="1:10" x14ac:dyDescent="0.3">
      <c r="A27">
        <f>24</f>
        <v>24</v>
      </c>
      <c r="B27" s="13">
        <f>VLOOKUP("BaseHP",BALANCE_INPUTS!$B$4:$C$18,2,FALSE)*POWER(VLOOKUP("GrowthRate",BALANCE_INPUTS!$B$4:$C$18,2,FALSE),A27-1)</f>
        <v>66247.372669492339</v>
      </c>
      <c r="C27" s="13">
        <f>B27*VLOOKUP("FastHPMultiplier",BALANCE_INPUTS!$B$4:$C$18,2,FALSE)</f>
        <v>46373.160868644634</v>
      </c>
      <c r="D27" s="13">
        <f>B27*VLOOKUP("TankHPMultiplier",BALANCE_INPUTS!$B$4:$C$18,2,FALSE)</f>
        <v>198742.11800847703</v>
      </c>
      <c r="E27" s="13">
        <f>B27*VLOOKUP("EliteHPMultiplier",BALANCE_INPUTS!$B$4:$C$18,2,FALSE)</f>
        <v>794968.47203390813</v>
      </c>
      <c r="F27" s="13">
        <f>B27*VLOOKUP("BossHPMultiplier",BALANCE_INPUTS!$B$4:$C$18,2,FALSE)</f>
        <v>7949684.7203390803</v>
      </c>
      <c r="G27" s="14">
        <f>ROUND(VLOOKUP("BaseMobCount",BALANCE_INPUTS!$B$4:$C$18,2,FALSE)*POWER(VLOOKUP("MobCountGrowth",BALANCE_INPUTS!$B$4:$C$18,2,FALSE),A27-1),0)</f>
        <v>336682</v>
      </c>
      <c r="H27" s="13">
        <f t="shared" si="0"/>
        <v>22304297925.11002</v>
      </c>
      <c r="I27" s="13">
        <f>B27/VLOOKUP("TargetTTK_Normal",BALANCE_INPUTS!$B$4:$C$18,2,FALSE)</f>
        <v>41404.60791843271</v>
      </c>
      <c r="J27" t="str">
        <f t="shared" si="1"/>
        <v/>
      </c>
    </row>
    <row r="28" spans="1:10" x14ac:dyDescent="0.3">
      <c r="A28">
        <f>25</f>
        <v>25</v>
      </c>
      <c r="B28" s="13">
        <f>VLOOKUP("BaseHP",BALANCE_INPUTS!$B$4:$C$18,2,FALSE)*POWER(VLOOKUP("GrowthRate",BALANCE_INPUTS!$B$4:$C$18,2,FALSE),A28-1)</f>
        <v>79496.847203390804</v>
      </c>
      <c r="C28" s="13">
        <f>B28*VLOOKUP("FastHPMultiplier",BALANCE_INPUTS!$B$4:$C$18,2,FALSE)</f>
        <v>55647.79304237356</v>
      </c>
      <c r="D28" s="13">
        <f>B28*VLOOKUP("TankHPMultiplier",BALANCE_INPUTS!$B$4:$C$18,2,FALSE)</f>
        <v>238490.54161017243</v>
      </c>
      <c r="E28" s="13">
        <f>B28*VLOOKUP("EliteHPMultiplier",BALANCE_INPUTS!$B$4:$C$18,2,FALSE)</f>
        <v>953962.1664406897</v>
      </c>
      <c r="F28" s="13">
        <f>B28*VLOOKUP("BossHPMultiplier",BALANCE_INPUTS!$B$4:$C$18,2,FALSE)</f>
        <v>9539621.6644068956</v>
      </c>
      <c r="G28" s="14">
        <f>ROUND(VLOOKUP("BaseMobCount",BALANCE_INPUTS!$B$4:$C$18,2,FALSE)*POWER(VLOOKUP("MobCountGrowth",BALANCE_INPUTS!$B$4:$C$18,2,FALSE),A28-1),0)</f>
        <v>505023</v>
      </c>
      <c r="H28" s="13">
        <f t="shared" si="0"/>
        <v>40147736265.198036</v>
      </c>
      <c r="I28" s="13">
        <f>B28/VLOOKUP("TargetTTK_Normal",BALANCE_INPUTS!$B$4:$C$18,2,FALSE)</f>
        <v>49685.529502119251</v>
      </c>
      <c r="J28" t="str">
        <f t="shared" si="1"/>
        <v>Elite pressure</v>
      </c>
    </row>
    <row r="29" spans="1:10" x14ac:dyDescent="0.3">
      <c r="A29">
        <f>26</f>
        <v>26</v>
      </c>
      <c r="B29" s="13">
        <f>VLOOKUP("BaseHP",BALANCE_INPUTS!$B$4:$C$18,2,FALSE)*POWER(VLOOKUP("GrowthRate",BALANCE_INPUTS!$B$4:$C$18,2,FALSE),A29-1)</f>
        <v>95396.216644068976</v>
      </c>
      <c r="C29" s="13">
        <f>B29*VLOOKUP("FastHPMultiplier",BALANCE_INPUTS!$B$4:$C$18,2,FALSE)</f>
        <v>66777.351650848286</v>
      </c>
      <c r="D29" s="13">
        <f>B29*VLOOKUP("TankHPMultiplier",BALANCE_INPUTS!$B$4:$C$18,2,FALSE)</f>
        <v>286188.64993220696</v>
      </c>
      <c r="E29" s="13">
        <f>B29*VLOOKUP("EliteHPMultiplier",BALANCE_INPUTS!$B$4:$C$18,2,FALSE)</f>
        <v>1144754.5997288278</v>
      </c>
      <c r="F29" s="13">
        <f>B29*VLOOKUP("BossHPMultiplier",BALANCE_INPUTS!$B$4:$C$18,2,FALSE)</f>
        <v>11447545.997288277</v>
      </c>
      <c r="G29" s="14">
        <f>ROUND(VLOOKUP("BaseMobCount",BALANCE_INPUTS!$B$4:$C$18,2,FALSE)*POWER(VLOOKUP("MobCountGrowth",BALANCE_INPUTS!$B$4:$C$18,2,FALSE),A29-1),0)</f>
        <v>757535</v>
      </c>
      <c r="H29" s="13">
        <f t="shared" si="0"/>
        <v>72265972975.464798</v>
      </c>
      <c r="I29" s="13">
        <f>B29/VLOOKUP("TargetTTK_Normal",BALANCE_INPUTS!$B$4:$C$18,2,FALSE)</f>
        <v>59622.635402543106</v>
      </c>
      <c r="J29" t="str">
        <f t="shared" si="1"/>
        <v/>
      </c>
    </row>
    <row r="30" spans="1:10" x14ac:dyDescent="0.3">
      <c r="A30">
        <f>27</f>
        <v>27</v>
      </c>
      <c r="B30" s="13">
        <f>VLOOKUP("BaseHP",BALANCE_INPUTS!$B$4:$C$18,2,FALSE)*POWER(VLOOKUP("GrowthRate",BALANCE_INPUTS!$B$4:$C$18,2,FALSE),A30-1)</f>
        <v>114475.45997288276</v>
      </c>
      <c r="C30" s="13">
        <f>B30*VLOOKUP("FastHPMultiplier",BALANCE_INPUTS!$B$4:$C$18,2,FALSE)</f>
        <v>80132.821981017929</v>
      </c>
      <c r="D30" s="13">
        <f>B30*VLOOKUP("TankHPMultiplier",BALANCE_INPUTS!$B$4:$C$18,2,FALSE)</f>
        <v>343426.37991864828</v>
      </c>
      <c r="E30" s="13">
        <f>B30*VLOOKUP("EliteHPMultiplier",BALANCE_INPUTS!$B$4:$C$18,2,FALSE)</f>
        <v>1373705.5196745931</v>
      </c>
      <c r="F30" s="13">
        <f>B30*VLOOKUP("BossHPMultiplier",BALANCE_INPUTS!$B$4:$C$18,2,FALSE)</f>
        <v>13737055.196745932</v>
      </c>
      <c r="G30" s="14">
        <f>ROUND(VLOOKUP("BaseMobCount",BALANCE_INPUTS!$B$4:$C$18,2,FALSE)*POWER(VLOOKUP("MobCountGrowth",BALANCE_INPUTS!$B$4:$C$18,2,FALSE),A30-1),0)</f>
        <v>1136303</v>
      </c>
      <c r="H30" s="13">
        <f t="shared" si="0"/>
        <v>130078808593.5666</v>
      </c>
      <c r="I30" s="13">
        <f>B30/VLOOKUP("TargetTTK_Normal",BALANCE_INPUTS!$B$4:$C$18,2,FALSE)</f>
        <v>71547.162483051725</v>
      </c>
      <c r="J30" t="str">
        <f t="shared" si="1"/>
        <v/>
      </c>
    </row>
    <row r="31" spans="1:10" x14ac:dyDescent="0.3">
      <c r="A31">
        <f>28</f>
        <v>28</v>
      </c>
      <c r="B31" s="13">
        <f>VLOOKUP("BaseHP",BALANCE_INPUTS!$B$4:$C$18,2,FALSE)*POWER(VLOOKUP("GrowthRate",BALANCE_INPUTS!$B$4:$C$18,2,FALSE),A31-1)</f>
        <v>137370.55196745929</v>
      </c>
      <c r="C31" s="13">
        <f>B31*VLOOKUP("FastHPMultiplier",BALANCE_INPUTS!$B$4:$C$18,2,FALSE)</f>
        <v>96159.386377221497</v>
      </c>
      <c r="D31" s="13">
        <f>B31*VLOOKUP("TankHPMultiplier",BALANCE_INPUTS!$B$4:$C$18,2,FALSE)</f>
        <v>412111.65590237791</v>
      </c>
      <c r="E31" s="13">
        <f>B31*VLOOKUP("EliteHPMultiplier",BALANCE_INPUTS!$B$4:$C$18,2,FALSE)</f>
        <v>1648446.6236095116</v>
      </c>
      <c r="F31" s="13">
        <f>B31*VLOOKUP("BossHPMultiplier",BALANCE_INPUTS!$B$4:$C$18,2,FALSE)</f>
        <v>16484466.236095116</v>
      </c>
      <c r="G31" s="14">
        <f>ROUND(VLOOKUP("BaseMobCount",BALANCE_INPUTS!$B$4:$C$18,2,FALSE)*POWER(VLOOKUP("MobCountGrowth",BALANCE_INPUTS!$B$4:$C$18,2,FALSE),A31-1),0)</f>
        <v>1704454</v>
      </c>
      <c r="H31" s="13">
        <f t="shared" si="0"/>
        <v>234141786783.14386</v>
      </c>
      <c r="I31" s="13">
        <f>B31/VLOOKUP("TargetTTK_Normal",BALANCE_INPUTS!$B$4:$C$18,2,FALSE)</f>
        <v>85856.594979662055</v>
      </c>
      <c r="J31" t="str">
        <f t="shared" si="1"/>
        <v/>
      </c>
    </row>
    <row r="32" spans="1:10" x14ac:dyDescent="0.3">
      <c r="A32">
        <f>29</f>
        <v>29</v>
      </c>
      <c r="B32" s="13">
        <f>VLOOKUP("BaseHP",BALANCE_INPUTS!$B$4:$C$18,2,FALSE)*POWER(VLOOKUP("GrowthRate",BALANCE_INPUTS!$B$4:$C$18,2,FALSE),A32-1)</f>
        <v>164844.66236095116</v>
      </c>
      <c r="C32" s="13">
        <f>B32*VLOOKUP("FastHPMultiplier",BALANCE_INPUTS!$B$4:$C$18,2,FALSE)</f>
        <v>115391.2636526658</v>
      </c>
      <c r="D32" s="13">
        <f>B32*VLOOKUP("TankHPMultiplier",BALANCE_INPUTS!$B$4:$C$18,2,FALSE)</f>
        <v>494533.98708285345</v>
      </c>
      <c r="E32" s="13">
        <f>B32*VLOOKUP("EliteHPMultiplier",BALANCE_INPUTS!$B$4:$C$18,2,FALSE)</f>
        <v>1978135.9483314138</v>
      </c>
      <c r="F32" s="13">
        <f>B32*VLOOKUP("BossHPMultiplier",BALANCE_INPUTS!$B$4:$C$18,2,FALSE)</f>
        <v>19781359.483314138</v>
      </c>
      <c r="G32" s="14">
        <f>ROUND(VLOOKUP("BaseMobCount",BALANCE_INPUTS!$B$4:$C$18,2,FALSE)*POWER(VLOOKUP("MobCountGrowth",BALANCE_INPUTS!$B$4:$C$18,2,FALSE),A32-1),0)</f>
        <v>2556681</v>
      </c>
      <c r="H32" s="13">
        <f t="shared" si="0"/>
        <v>421455216209.659</v>
      </c>
      <c r="I32" s="13">
        <f>B32/VLOOKUP("TargetTTK_Normal",BALANCE_INPUTS!$B$4:$C$18,2,FALSE)</f>
        <v>103027.91397559446</v>
      </c>
      <c r="J32" t="str">
        <f t="shared" si="1"/>
        <v/>
      </c>
    </row>
    <row r="33" spans="1:10" x14ac:dyDescent="0.3">
      <c r="A33">
        <f>30</f>
        <v>30</v>
      </c>
      <c r="B33" s="13">
        <f>VLOOKUP("BaseHP",BALANCE_INPUTS!$B$4:$C$18,2,FALSE)*POWER(VLOOKUP("GrowthRate",BALANCE_INPUTS!$B$4:$C$18,2,FALSE),A33-1)</f>
        <v>197813.5948331414</v>
      </c>
      <c r="C33" s="13">
        <f>B33*VLOOKUP("FastHPMultiplier",BALANCE_INPUTS!$B$4:$C$18,2,FALSE)</f>
        <v>138469.51638319896</v>
      </c>
      <c r="D33" s="13">
        <f>B33*VLOOKUP("TankHPMultiplier",BALANCE_INPUTS!$B$4:$C$18,2,FALSE)</f>
        <v>593440.78449942416</v>
      </c>
      <c r="E33" s="13">
        <f>B33*VLOOKUP("EliteHPMultiplier",BALANCE_INPUTS!$B$4:$C$18,2,FALSE)</f>
        <v>2373763.1379976966</v>
      </c>
      <c r="F33" s="13">
        <f>B33*VLOOKUP("BossHPMultiplier",BALANCE_INPUTS!$B$4:$C$18,2,FALSE)</f>
        <v>23737631.379976969</v>
      </c>
      <c r="G33" s="14">
        <f>ROUND(VLOOKUP("BaseMobCount",BALANCE_INPUTS!$B$4:$C$18,2,FALSE)*POWER(VLOOKUP("MobCountGrowth",BALANCE_INPUTS!$B$4:$C$18,2,FALSE),A33-1),0)</f>
        <v>3835021</v>
      </c>
      <c r="H33" s="13">
        <f t="shared" si="0"/>
        <v>758619290270.58875</v>
      </c>
      <c r="I33" s="13">
        <f>B33/VLOOKUP("TargetTTK_Normal",BALANCE_INPUTS!$B$4:$C$18,2,FALSE)</f>
        <v>123633.49677071336</v>
      </c>
      <c r="J33" t="str">
        <f t="shared" si="1"/>
        <v>Boss checkpoint</v>
      </c>
    </row>
    <row r="34" spans="1:10" x14ac:dyDescent="0.3">
      <c r="A34">
        <f>31</f>
        <v>31</v>
      </c>
      <c r="B34" s="13">
        <f>VLOOKUP("BaseHP",BALANCE_INPUTS!$B$4:$C$18,2,FALSE)*POWER(VLOOKUP("GrowthRate",BALANCE_INPUTS!$B$4:$C$18,2,FALSE),A34-1)</f>
        <v>237376.31379976968</v>
      </c>
      <c r="C34" s="13">
        <f>B34*VLOOKUP("FastHPMultiplier",BALANCE_INPUTS!$B$4:$C$18,2,FALSE)</f>
        <v>166163.41965983875</v>
      </c>
      <c r="D34" s="13">
        <f>B34*VLOOKUP("TankHPMultiplier",BALANCE_INPUTS!$B$4:$C$18,2,FALSE)</f>
        <v>712128.94139930909</v>
      </c>
      <c r="E34" s="13">
        <f>B34*VLOOKUP("EliteHPMultiplier",BALANCE_INPUTS!$B$4:$C$18,2,FALSE)</f>
        <v>2848515.7655972363</v>
      </c>
      <c r="F34" s="13">
        <f>B34*VLOOKUP("BossHPMultiplier",BALANCE_INPUTS!$B$4:$C$18,2,FALSE)</f>
        <v>28485157.655972362</v>
      </c>
      <c r="G34" s="14">
        <f>ROUND(VLOOKUP("BaseMobCount",BALANCE_INPUTS!$B$4:$C$18,2,FALSE)*POWER(VLOOKUP("MobCountGrowth",BALANCE_INPUTS!$B$4:$C$18,2,FALSE),A34-1),0)</f>
        <v>5752532</v>
      </c>
      <c r="H34" s="13">
        <f t="shared" si="0"/>
        <v>1365514841175.2166</v>
      </c>
      <c r="I34" s="13">
        <f>B34/VLOOKUP("TargetTTK_Normal",BALANCE_INPUTS!$B$4:$C$18,2,FALSE)</f>
        <v>148360.19612485604</v>
      </c>
      <c r="J34" t="str">
        <f t="shared" si="1"/>
        <v/>
      </c>
    </row>
    <row r="35" spans="1:10" x14ac:dyDescent="0.3">
      <c r="A35">
        <f>32</f>
        <v>32</v>
      </c>
      <c r="B35" s="13">
        <f>VLOOKUP("BaseHP",BALANCE_INPUTS!$B$4:$C$18,2,FALSE)*POWER(VLOOKUP("GrowthRate",BALANCE_INPUTS!$B$4:$C$18,2,FALSE),A35-1)</f>
        <v>284851.57655972359</v>
      </c>
      <c r="C35" s="13">
        <f>B35*VLOOKUP("FastHPMultiplier",BALANCE_INPUTS!$B$4:$C$18,2,FALSE)</f>
        <v>199396.10359180649</v>
      </c>
      <c r="D35" s="13">
        <f>B35*VLOOKUP("TankHPMultiplier",BALANCE_INPUTS!$B$4:$C$18,2,FALSE)</f>
        <v>854554.72967917076</v>
      </c>
      <c r="E35" s="13">
        <f>B35*VLOOKUP("EliteHPMultiplier",BALANCE_INPUTS!$B$4:$C$18,2,FALSE)</f>
        <v>3418218.9187166831</v>
      </c>
      <c r="F35" s="13">
        <f>B35*VLOOKUP("BossHPMultiplier",BALANCE_INPUTS!$B$4:$C$18,2,FALSE)</f>
        <v>34182189.187166832</v>
      </c>
      <c r="G35" s="14">
        <f>ROUND(VLOOKUP("BaseMobCount",BALANCE_INPUTS!$B$4:$C$18,2,FALSE)*POWER(VLOOKUP("MobCountGrowth",BALANCE_INPUTS!$B$4:$C$18,2,FALSE),A35-1),0)</f>
        <v>8628798</v>
      </c>
      <c r="H35" s="13">
        <f t="shared" si="0"/>
        <v>2457926714115.3896</v>
      </c>
      <c r="I35" s="13">
        <f>B35/VLOOKUP("TargetTTK_Normal",BALANCE_INPUTS!$B$4:$C$18,2,FALSE)</f>
        <v>178032.23534982724</v>
      </c>
      <c r="J35" t="str">
        <f t="shared" si="1"/>
        <v/>
      </c>
    </row>
    <row r="36" spans="1:10" x14ac:dyDescent="0.3">
      <c r="A36">
        <f>33</f>
        <v>33</v>
      </c>
      <c r="B36" s="13">
        <f>VLOOKUP("BaseHP",BALANCE_INPUTS!$B$4:$C$18,2,FALSE)*POWER(VLOOKUP("GrowthRate",BALANCE_INPUTS!$B$4:$C$18,2,FALSE),A36-1)</f>
        <v>341821.89187166822</v>
      </c>
      <c r="C36" s="13">
        <f>B36*VLOOKUP("FastHPMultiplier",BALANCE_INPUTS!$B$4:$C$18,2,FALSE)</f>
        <v>239275.32431016775</v>
      </c>
      <c r="D36" s="13">
        <f>B36*VLOOKUP("TankHPMultiplier",BALANCE_INPUTS!$B$4:$C$18,2,FALSE)</f>
        <v>1025465.6756150047</v>
      </c>
      <c r="E36" s="13">
        <f>B36*VLOOKUP("EliteHPMultiplier",BALANCE_INPUTS!$B$4:$C$18,2,FALSE)</f>
        <v>4101862.7024600189</v>
      </c>
      <c r="F36" s="13">
        <f>B36*VLOOKUP("BossHPMultiplier",BALANCE_INPUTS!$B$4:$C$18,2,FALSE)</f>
        <v>41018627.024600185</v>
      </c>
      <c r="G36" s="14">
        <f>ROUND(VLOOKUP("BaseMobCount",BALANCE_INPUTS!$B$4:$C$18,2,FALSE)*POWER(VLOOKUP("MobCountGrowth",BALANCE_INPUTS!$B$4:$C$18,2,FALSE),A36-1),0)</f>
        <v>12943196</v>
      </c>
      <c r="H36" s="13">
        <f t="shared" ref="H36:H53" si="2">B36*G36</f>
        <v>4424267743585.8086</v>
      </c>
      <c r="I36" s="13">
        <f>B36/VLOOKUP("TargetTTK_Normal",BALANCE_INPUTS!$B$4:$C$18,2,FALSE)</f>
        <v>213638.68241979263</v>
      </c>
      <c r="J36" t="str">
        <f t="shared" ref="J36:J53" si="3">IF(MOD(A36,10)=0,"Boss checkpoint",IF(MOD(A36,5)=0,"Elite pressure",""))</f>
        <v/>
      </c>
    </row>
    <row r="37" spans="1:10" x14ac:dyDescent="0.3">
      <c r="A37">
        <f>34</f>
        <v>34</v>
      </c>
      <c r="B37" s="13">
        <f>VLOOKUP("BaseHP",BALANCE_INPUTS!$B$4:$C$18,2,FALSE)*POWER(VLOOKUP("GrowthRate",BALANCE_INPUTS!$B$4:$C$18,2,FALSE),A37-1)</f>
        <v>410186.27024600189</v>
      </c>
      <c r="C37" s="13">
        <f>B37*VLOOKUP("FastHPMultiplier",BALANCE_INPUTS!$B$4:$C$18,2,FALSE)</f>
        <v>287130.38917220128</v>
      </c>
      <c r="D37" s="13">
        <f>B37*VLOOKUP("TankHPMultiplier",BALANCE_INPUTS!$B$4:$C$18,2,FALSE)</f>
        <v>1230558.8107380057</v>
      </c>
      <c r="E37" s="13">
        <f>B37*VLOOKUP("EliteHPMultiplier",BALANCE_INPUTS!$B$4:$C$18,2,FALSE)</f>
        <v>4922235.2429520227</v>
      </c>
      <c r="F37" s="13">
        <f>B37*VLOOKUP("BossHPMultiplier",BALANCE_INPUTS!$B$4:$C$18,2,FALSE)</f>
        <v>49222352.429520227</v>
      </c>
      <c r="G37" s="14">
        <f>ROUND(VLOOKUP("BaseMobCount",BALANCE_INPUTS!$B$4:$C$18,2,FALSE)*POWER(VLOOKUP("MobCountGrowth",BALANCE_INPUTS!$B$4:$C$18,2,FALSE),A37-1),0)</f>
        <v>19414795</v>
      </c>
      <c r="H37" s="13">
        <f t="shared" si="2"/>
        <v>7963682348640.7266</v>
      </c>
      <c r="I37" s="13">
        <f>B37/VLOOKUP("TargetTTK_Normal",BALANCE_INPUTS!$B$4:$C$18,2,FALSE)</f>
        <v>256366.41890375118</v>
      </c>
      <c r="J37" t="str">
        <f t="shared" si="3"/>
        <v/>
      </c>
    </row>
    <row r="38" spans="1:10" x14ac:dyDescent="0.3">
      <c r="A38">
        <f>35</f>
        <v>35</v>
      </c>
      <c r="B38" s="13">
        <f>VLOOKUP("BaseHP",BALANCE_INPUTS!$B$4:$C$18,2,FALSE)*POWER(VLOOKUP("GrowthRate",BALANCE_INPUTS!$B$4:$C$18,2,FALSE),A38-1)</f>
        <v>492223.52429520228</v>
      </c>
      <c r="C38" s="13">
        <f>B38*VLOOKUP("FastHPMultiplier",BALANCE_INPUTS!$B$4:$C$18,2,FALSE)</f>
        <v>344556.46700664156</v>
      </c>
      <c r="D38" s="13">
        <f>B38*VLOOKUP("TankHPMultiplier",BALANCE_INPUTS!$B$4:$C$18,2,FALSE)</f>
        <v>1476670.5728856069</v>
      </c>
      <c r="E38" s="13">
        <f>B38*VLOOKUP("EliteHPMultiplier",BALANCE_INPUTS!$B$4:$C$18,2,FALSE)</f>
        <v>5906682.2915424276</v>
      </c>
      <c r="F38" s="13">
        <f>B38*VLOOKUP("BossHPMultiplier",BALANCE_INPUTS!$B$4:$C$18,2,FALSE)</f>
        <v>59066822.915424272</v>
      </c>
      <c r="G38" s="14">
        <f>ROUND(VLOOKUP("BaseMobCount",BALANCE_INPUTS!$B$4:$C$18,2,FALSE)*POWER(VLOOKUP("MobCountGrowth",BALANCE_INPUTS!$B$4:$C$18,2,FALSE),A38-1),0)</f>
        <v>29122192</v>
      </c>
      <c r="H38" s="13">
        <f t="shared" si="2"/>
        <v>14334627981441.545</v>
      </c>
      <c r="I38" s="13">
        <f>B38/VLOOKUP("TargetTTK_Normal",BALANCE_INPUTS!$B$4:$C$18,2,FALSE)</f>
        <v>307639.70268450142</v>
      </c>
      <c r="J38" t="str">
        <f t="shared" si="3"/>
        <v>Elite pressure</v>
      </c>
    </row>
    <row r="39" spans="1:10" x14ac:dyDescent="0.3">
      <c r="A39">
        <f>36</f>
        <v>36</v>
      </c>
      <c r="B39" s="13">
        <f>VLOOKUP("BaseHP",BALANCE_INPUTS!$B$4:$C$18,2,FALSE)*POWER(VLOOKUP("GrowthRate",BALANCE_INPUTS!$B$4:$C$18,2,FALSE),A39-1)</f>
        <v>590668.22915424267</v>
      </c>
      <c r="C39" s="13">
        <f>B39*VLOOKUP("FastHPMultiplier",BALANCE_INPUTS!$B$4:$C$18,2,FALSE)</f>
        <v>413467.76040796982</v>
      </c>
      <c r="D39" s="13">
        <f>B39*VLOOKUP("TankHPMultiplier",BALANCE_INPUTS!$B$4:$C$18,2,FALSE)</f>
        <v>1772004.687462728</v>
      </c>
      <c r="E39" s="13">
        <f>B39*VLOOKUP("EliteHPMultiplier",BALANCE_INPUTS!$B$4:$C$18,2,FALSE)</f>
        <v>7088018.749850912</v>
      </c>
      <c r="F39" s="13">
        <f>B39*VLOOKUP("BossHPMultiplier",BALANCE_INPUTS!$B$4:$C$18,2,FALSE)</f>
        <v>70880187.498509124</v>
      </c>
      <c r="G39" s="14">
        <f>ROUND(VLOOKUP("BaseMobCount",BALANCE_INPUTS!$B$4:$C$18,2,FALSE)*POWER(VLOOKUP("MobCountGrowth",BALANCE_INPUTS!$B$4:$C$18,2,FALSE),A39-1),0)</f>
        <v>43683288</v>
      </c>
      <c r="H39" s="13">
        <f t="shared" si="2"/>
        <v>25802330366594.777</v>
      </c>
      <c r="I39" s="13">
        <f>B39/VLOOKUP("TargetTTK_Normal",BALANCE_INPUTS!$B$4:$C$18,2,FALSE)</f>
        <v>369167.64322140167</v>
      </c>
      <c r="J39" t="str">
        <f t="shared" si="3"/>
        <v/>
      </c>
    </row>
    <row r="40" spans="1:10" x14ac:dyDescent="0.3">
      <c r="A40">
        <f>37</f>
        <v>37</v>
      </c>
      <c r="B40" s="13">
        <f>VLOOKUP("BaseHP",BALANCE_INPUTS!$B$4:$C$18,2,FALSE)*POWER(VLOOKUP("GrowthRate",BALANCE_INPUTS!$B$4:$C$18,2,FALSE),A40-1)</f>
        <v>708801.87498509127</v>
      </c>
      <c r="C40" s="13">
        <f>B40*VLOOKUP("FastHPMultiplier",BALANCE_INPUTS!$B$4:$C$18,2,FALSE)</f>
        <v>496161.31248956383</v>
      </c>
      <c r="D40" s="13">
        <f>B40*VLOOKUP("TankHPMultiplier",BALANCE_INPUTS!$B$4:$C$18,2,FALSE)</f>
        <v>2126405.6249552737</v>
      </c>
      <c r="E40" s="13">
        <f>B40*VLOOKUP("EliteHPMultiplier",BALANCE_INPUTS!$B$4:$C$18,2,FALSE)</f>
        <v>8505622.4998210948</v>
      </c>
      <c r="F40" s="13">
        <f>B40*VLOOKUP("BossHPMultiplier",BALANCE_INPUTS!$B$4:$C$18,2,FALSE)</f>
        <v>85056224.998210952</v>
      </c>
      <c r="G40" s="14">
        <f>ROUND(VLOOKUP("BaseMobCount",BALANCE_INPUTS!$B$4:$C$18,2,FALSE)*POWER(VLOOKUP("MobCountGrowth",BALANCE_INPUTS!$B$4:$C$18,2,FALSE),A40-1),0)</f>
        <v>65524932</v>
      </c>
      <c r="H40" s="13">
        <f t="shared" si="2"/>
        <v>46444194659870.609</v>
      </c>
      <c r="I40" s="13">
        <f>B40/VLOOKUP("TargetTTK_Normal",BALANCE_INPUTS!$B$4:$C$18,2,FALSE)</f>
        <v>443001.171865682</v>
      </c>
      <c r="J40" t="str">
        <f t="shared" si="3"/>
        <v/>
      </c>
    </row>
    <row r="41" spans="1:10" x14ac:dyDescent="0.3">
      <c r="A41">
        <f>38</f>
        <v>38</v>
      </c>
      <c r="B41" s="13">
        <f>VLOOKUP("BaseHP",BALANCE_INPUTS!$B$4:$C$18,2,FALSE)*POWER(VLOOKUP("GrowthRate",BALANCE_INPUTS!$B$4:$C$18,2,FALSE),A41-1)</f>
        <v>850562.24998210953</v>
      </c>
      <c r="C41" s="13">
        <f>B41*VLOOKUP("FastHPMultiplier",BALANCE_INPUTS!$B$4:$C$18,2,FALSE)</f>
        <v>595393.57498747658</v>
      </c>
      <c r="D41" s="13">
        <f>B41*VLOOKUP("TankHPMultiplier",BALANCE_INPUTS!$B$4:$C$18,2,FALSE)</f>
        <v>2551686.7499463288</v>
      </c>
      <c r="E41" s="13">
        <f>B41*VLOOKUP("EliteHPMultiplier",BALANCE_INPUTS!$B$4:$C$18,2,FALSE)</f>
        <v>10206746.999785315</v>
      </c>
      <c r="F41" s="13">
        <f>B41*VLOOKUP("BossHPMultiplier",BALANCE_INPUTS!$B$4:$C$18,2,FALSE)</f>
        <v>102067469.99785315</v>
      </c>
      <c r="G41" s="14">
        <f>ROUND(VLOOKUP("BaseMobCount",BALANCE_INPUTS!$B$4:$C$18,2,FALSE)*POWER(VLOOKUP("MobCountGrowth",BALANCE_INPUTS!$B$4:$C$18,2,FALSE),A41-1),0)</f>
        <v>98287398</v>
      </c>
      <c r="H41" s="13">
        <f t="shared" si="2"/>
        <v>83599550387767.094</v>
      </c>
      <c r="I41" s="13">
        <f>B41/VLOOKUP("TargetTTK_Normal",BALANCE_INPUTS!$B$4:$C$18,2,FALSE)</f>
        <v>531601.40623881842</v>
      </c>
      <c r="J41" t="str">
        <f t="shared" si="3"/>
        <v/>
      </c>
    </row>
    <row r="42" spans="1:10" x14ac:dyDescent="0.3">
      <c r="A42">
        <f>39</f>
        <v>39</v>
      </c>
      <c r="B42" s="13">
        <f>VLOOKUP("BaseHP",BALANCE_INPUTS!$B$4:$C$18,2,FALSE)*POWER(VLOOKUP("GrowthRate",BALANCE_INPUTS!$B$4:$C$18,2,FALSE),A42-1)</f>
        <v>1020674.6999785313</v>
      </c>
      <c r="C42" s="13">
        <f>B42*VLOOKUP("FastHPMultiplier",BALANCE_INPUTS!$B$4:$C$18,2,FALSE)</f>
        <v>714472.28998497187</v>
      </c>
      <c r="D42" s="13">
        <f>B42*VLOOKUP("TankHPMultiplier",BALANCE_INPUTS!$B$4:$C$18,2,FALSE)</f>
        <v>3062024.099935594</v>
      </c>
      <c r="E42" s="13">
        <f>B42*VLOOKUP("EliteHPMultiplier",BALANCE_INPUTS!$B$4:$C$18,2,FALSE)</f>
        <v>12248096.399742376</v>
      </c>
      <c r="F42" s="13">
        <f>B42*VLOOKUP("BossHPMultiplier",BALANCE_INPUTS!$B$4:$C$18,2,FALSE)</f>
        <v>122480963.99742377</v>
      </c>
      <c r="G42" s="14">
        <f>ROUND(VLOOKUP("BaseMobCount",BALANCE_INPUTS!$B$4:$C$18,2,FALSE)*POWER(VLOOKUP("MobCountGrowth",BALANCE_INPUTS!$B$4:$C$18,2,FALSE),A42-1),0)</f>
        <v>147431098</v>
      </c>
      <c r="H42" s="13">
        <f t="shared" si="2"/>
        <v>150479191718655.44</v>
      </c>
      <c r="I42" s="13">
        <f>B42/VLOOKUP("TargetTTK_Normal",BALANCE_INPUTS!$B$4:$C$18,2,FALSE)</f>
        <v>637921.68748658209</v>
      </c>
      <c r="J42" t="str">
        <f t="shared" si="3"/>
        <v/>
      </c>
    </row>
    <row r="43" spans="1:10" x14ac:dyDescent="0.3">
      <c r="A43">
        <f>40</f>
        <v>40</v>
      </c>
      <c r="B43" s="13">
        <f>VLOOKUP("BaseHP",BALANCE_INPUTS!$B$4:$C$18,2,FALSE)*POWER(VLOOKUP("GrowthRate",BALANCE_INPUTS!$B$4:$C$18,2,FALSE),A43-1)</f>
        <v>1224809.6399742377</v>
      </c>
      <c r="C43" s="13">
        <f>B43*VLOOKUP("FastHPMultiplier",BALANCE_INPUTS!$B$4:$C$18,2,FALSE)</f>
        <v>857366.74798196636</v>
      </c>
      <c r="D43" s="13">
        <f>B43*VLOOKUP("TankHPMultiplier",BALANCE_INPUTS!$B$4:$C$18,2,FALSE)</f>
        <v>3674428.9199227132</v>
      </c>
      <c r="E43" s="13">
        <f>B43*VLOOKUP("EliteHPMultiplier",BALANCE_INPUTS!$B$4:$C$18,2,FALSE)</f>
        <v>14697715.679690853</v>
      </c>
      <c r="F43" s="13">
        <f>B43*VLOOKUP("BossHPMultiplier",BALANCE_INPUTS!$B$4:$C$18,2,FALSE)</f>
        <v>146977156.79690853</v>
      </c>
      <c r="G43" s="14">
        <f>ROUND(VLOOKUP("BaseMobCount",BALANCE_INPUTS!$B$4:$C$18,2,FALSE)*POWER(VLOOKUP("MobCountGrowth",BALANCE_INPUTS!$B$4:$C$18,2,FALSE),A43-1),0)</f>
        <v>221146646</v>
      </c>
      <c r="H43" s="13">
        <f t="shared" si="2"/>
        <v>270862543868770.19</v>
      </c>
      <c r="I43" s="13">
        <f>B43/VLOOKUP("TargetTTK_Normal",BALANCE_INPUTS!$B$4:$C$18,2,FALSE)</f>
        <v>765506.0249838985</v>
      </c>
      <c r="J43" t="str">
        <f t="shared" si="3"/>
        <v>Boss checkpoint</v>
      </c>
    </row>
    <row r="44" spans="1:10" x14ac:dyDescent="0.3">
      <c r="A44">
        <f>41</f>
        <v>41</v>
      </c>
      <c r="B44" s="13">
        <f>VLOOKUP("BaseHP",BALANCE_INPUTS!$B$4:$C$18,2,FALSE)*POWER(VLOOKUP("GrowthRate",BALANCE_INPUTS!$B$4:$C$18,2,FALSE),A44-1)</f>
        <v>1469771.567969085</v>
      </c>
      <c r="C44" s="13">
        <f>B44*VLOOKUP("FastHPMultiplier",BALANCE_INPUTS!$B$4:$C$18,2,FALSE)</f>
        <v>1028840.0975783594</v>
      </c>
      <c r="D44" s="13">
        <f>B44*VLOOKUP("TankHPMultiplier",BALANCE_INPUTS!$B$4:$C$18,2,FALSE)</f>
        <v>4409314.7039072551</v>
      </c>
      <c r="E44" s="13">
        <f>B44*VLOOKUP("EliteHPMultiplier",BALANCE_INPUTS!$B$4:$C$18,2,FALSE)</f>
        <v>17637258.81562902</v>
      </c>
      <c r="F44" s="13">
        <f>B44*VLOOKUP("BossHPMultiplier",BALANCE_INPUTS!$B$4:$C$18,2,FALSE)</f>
        <v>176372588.1562902</v>
      </c>
      <c r="G44" s="14">
        <f>ROUND(VLOOKUP("BaseMobCount",BALANCE_INPUTS!$B$4:$C$18,2,FALSE)*POWER(VLOOKUP("MobCountGrowth",BALANCE_INPUTS!$B$4:$C$18,2,FALSE),A44-1),0)</f>
        <v>331719970</v>
      </c>
      <c r="H44" s="13">
        <f t="shared" si="2"/>
        <v>487552580433557.81</v>
      </c>
      <c r="I44" s="13">
        <f>B44/VLOOKUP("TargetTTK_Normal",BALANCE_INPUTS!$B$4:$C$18,2,FALSE)</f>
        <v>918607.22998067806</v>
      </c>
      <c r="J44" t="str">
        <f t="shared" si="3"/>
        <v/>
      </c>
    </row>
    <row r="45" spans="1:10" x14ac:dyDescent="0.3">
      <c r="A45">
        <f>42</f>
        <v>42</v>
      </c>
      <c r="B45" s="13">
        <f>VLOOKUP("BaseHP",BALANCE_INPUTS!$B$4:$C$18,2,FALSE)*POWER(VLOOKUP("GrowthRate",BALANCE_INPUTS!$B$4:$C$18,2,FALSE),A45-1)</f>
        <v>1763725.8815629021</v>
      </c>
      <c r="C45" s="13">
        <f>B45*VLOOKUP("FastHPMultiplier",BALANCE_INPUTS!$B$4:$C$18,2,FALSE)</f>
        <v>1234608.1170940313</v>
      </c>
      <c r="D45" s="13">
        <f>B45*VLOOKUP("TankHPMultiplier",BALANCE_INPUTS!$B$4:$C$18,2,FALSE)</f>
        <v>5291177.6446887068</v>
      </c>
      <c r="E45" s="13">
        <f>B45*VLOOKUP("EliteHPMultiplier",BALANCE_INPUTS!$B$4:$C$18,2,FALSE)</f>
        <v>21164710.578754827</v>
      </c>
      <c r="F45" s="13">
        <f>B45*VLOOKUP("BossHPMultiplier",BALANCE_INPUTS!$B$4:$C$18,2,FALSE)</f>
        <v>211647105.78754824</v>
      </c>
      <c r="G45" s="14">
        <f>ROUND(VLOOKUP("BaseMobCount",BALANCE_INPUTS!$B$4:$C$18,2,FALSE)*POWER(VLOOKUP("MobCountGrowth",BALANCE_INPUTS!$B$4:$C$18,2,FALSE),A45-1),0)</f>
        <v>497579954</v>
      </c>
      <c r="H45" s="13">
        <f t="shared" si="2"/>
        <v>877594643016678.25</v>
      </c>
      <c r="I45" s="13">
        <f>B45/VLOOKUP("TargetTTK_Normal",BALANCE_INPUTS!$B$4:$C$18,2,FALSE)</f>
        <v>1102328.6759768138</v>
      </c>
      <c r="J45" t="str">
        <f t="shared" si="3"/>
        <v/>
      </c>
    </row>
    <row r="46" spans="1:10" x14ac:dyDescent="0.3">
      <c r="A46">
        <f>43</f>
        <v>43</v>
      </c>
      <c r="B46" s="13">
        <f>VLOOKUP("BaseHP",BALANCE_INPUTS!$B$4:$C$18,2,FALSE)*POWER(VLOOKUP("GrowthRate",BALANCE_INPUTS!$B$4:$C$18,2,FALSE),A46-1)</f>
        <v>2116471.0578754824</v>
      </c>
      <c r="C46" s="13">
        <f>B46*VLOOKUP("FastHPMultiplier",BALANCE_INPUTS!$B$4:$C$18,2,FALSE)</f>
        <v>1481529.7405128377</v>
      </c>
      <c r="D46" s="13">
        <f>B46*VLOOKUP("TankHPMultiplier",BALANCE_INPUTS!$B$4:$C$18,2,FALSE)</f>
        <v>6349413.1736264471</v>
      </c>
      <c r="E46" s="13">
        <f>B46*VLOOKUP("EliteHPMultiplier",BALANCE_INPUTS!$B$4:$C$18,2,FALSE)</f>
        <v>25397652.694505788</v>
      </c>
      <c r="F46" s="13">
        <f>B46*VLOOKUP("BossHPMultiplier",BALANCE_INPUTS!$B$4:$C$18,2,FALSE)</f>
        <v>253976526.94505787</v>
      </c>
      <c r="G46" s="14">
        <f>ROUND(VLOOKUP("BaseMobCount",BALANCE_INPUTS!$B$4:$C$18,2,FALSE)*POWER(VLOOKUP("MobCountGrowth",BALANCE_INPUTS!$B$4:$C$18,2,FALSE),A46-1),0)</f>
        <v>746369932</v>
      </c>
      <c r="H46" s="13">
        <f t="shared" si="2"/>
        <v>1579670359546491.8</v>
      </c>
      <c r="I46" s="13">
        <f>B46/VLOOKUP("TargetTTK_Normal",BALANCE_INPUTS!$B$4:$C$18,2,FALSE)</f>
        <v>1322794.4111721765</v>
      </c>
      <c r="J46" t="str">
        <f t="shared" si="3"/>
        <v/>
      </c>
    </row>
    <row r="47" spans="1:10" x14ac:dyDescent="0.3">
      <c r="A47">
        <f>44</f>
        <v>44</v>
      </c>
      <c r="B47" s="13">
        <f>VLOOKUP("BaseHP",BALANCE_INPUTS!$B$4:$C$18,2,FALSE)*POWER(VLOOKUP("GrowthRate",BALANCE_INPUTS!$B$4:$C$18,2,FALSE),A47-1)</f>
        <v>2539765.2694505788</v>
      </c>
      <c r="C47" s="13">
        <f>B47*VLOOKUP("FastHPMultiplier",BALANCE_INPUTS!$B$4:$C$18,2,FALSE)</f>
        <v>1777835.688615405</v>
      </c>
      <c r="D47" s="13">
        <f>B47*VLOOKUP("TankHPMultiplier",BALANCE_INPUTS!$B$4:$C$18,2,FALSE)</f>
        <v>7619295.8083517365</v>
      </c>
      <c r="E47" s="13">
        <f>B47*VLOOKUP("EliteHPMultiplier",BALANCE_INPUTS!$B$4:$C$18,2,FALSE)</f>
        <v>30477183.233406946</v>
      </c>
      <c r="F47" s="13">
        <f>B47*VLOOKUP("BossHPMultiplier",BALANCE_INPUTS!$B$4:$C$18,2,FALSE)</f>
        <v>304771832.33406949</v>
      </c>
      <c r="G47" s="14">
        <f>ROUND(VLOOKUP("BaseMobCount",BALANCE_INPUTS!$B$4:$C$18,2,FALSE)*POWER(VLOOKUP("MobCountGrowth",BALANCE_INPUTS!$B$4:$C$18,2,FALSE),A47-1),0)</f>
        <v>1119554897</v>
      </c>
      <c r="H47" s="13">
        <f t="shared" si="2"/>
        <v>2843406644643920</v>
      </c>
      <c r="I47" s="13">
        <f>B47/VLOOKUP("TargetTTK_Normal",BALANCE_INPUTS!$B$4:$C$18,2,FALSE)</f>
        <v>1587353.2934066118</v>
      </c>
      <c r="J47" t="str">
        <f t="shared" si="3"/>
        <v/>
      </c>
    </row>
    <row r="48" spans="1:10" x14ac:dyDescent="0.3">
      <c r="A48">
        <f>45</f>
        <v>45</v>
      </c>
      <c r="B48" s="13">
        <f>VLOOKUP("BaseHP",BALANCE_INPUTS!$B$4:$C$18,2,FALSE)*POWER(VLOOKUP("GrowthRate",BALANCE_INPUTS!$B$4:$C$18,2,FALSE),A48-1)</f>
        <v>3047718.3233406944</v>
      </c>
      <c r="C48" s="13">
        <f>B48*VLOOKUP("FastHPMultiplier",BALANCE_INPUTS!$B$4:$C$18,2,FALSE)</f>
        <v>2133402.8263384858</v>
      </c>
      <c r="D48" s="13">
        <f>B48*VLOOKUP("TankHPMultiplier",BALANCE_INPUTS!$B$4:$C$18,2,FALSE)</f>
        <v>9143154.9700220823</v>
      </c>
      <c r="E48" s="13">
        <f>B48*VLOOKUP("EliteHPMultiplier",BALANCE_INPUTS!$B$4:$C$18,2,FALSE)</f>
        <v>36572619.880088329</v>
      </c>
      <c r="F48" s="13">
        <f>B48*VLOOKUP("BossHPMultiplier",BALANCE_INPUTS!$B$4:$C$18,2,FALSE)</f>
        <v>365726198.80088335</v>
      </c>
      <c r="G48" s="14">
        <f>ROUND(VLOOKUP("BaseMobCount",BALANCE_INPUTS!$B$4:$C$18,2,FALSE)*POWER(VLOOKUP("MobCountGrowth",BALANCE_INPUTS!$B$4:$C$18,2,FALSE),A48-1),0)</f>
        <v>1679332346</v>
      </c>
      <c r="H48" s="13">
        <f t="shared" si="2"/>
        <v>5118131961882915</v>
      </c>
      <c r="I48" s="13">
        <f>B48/VLOOKUP("TargetTTK_Normal",BALANCE_INPUTS!$B$4:$C$18,2,FALSE)</f>
        <v>1904823.9520879339</v>
      </c>
      <c r="J48" t="str">
        <f t="shared" si="3"/>
        <v>Elite pressure</v>
      </c>
    </row>
    <row r="49" spans="1:10" x14ac:dyDescent="0.3">
      <c r="A49">
        <f>46</f>
        <v>46</v>
      </c>
      <c r="B49" s="13">
        <f>VLOOKUP("BaseHP",BALANCE_INPUTS!$B$4:$C$18,2,FALSE)*POWER(VLOOKUP("GrowthRate",BALANCE_INPUTS!$B$4:$C$18,2,FALSE),A49-1)</f>
        <v>3657261.9880088335</v>
      </c>
      <c r="C49" s="13">
        <f>B49*VLOOKUP("FastHPMultiplier",BALANCE_INPUTS!$B$4:$C$18,2,FALSE)</f>
        <v>2560083.3916061833</v>
      </c>
      <c r="D49" s="13">
        <f>B49*VLOOKUP("TankHPMultiplier",BALANCE_INPUTS!$B$4:$C$18,2,FALSE)</f>
        <v>10971785.9640265</v>
      </c>
      <c r="E49" s="13">
        <f>B49*VLOOKUP("EliteHPMultiplier",BALANCE_INPUTS!$B$4:$C$18,2,FALSE)</f>
        <v>43887143.856105998</v>
      </c>
      <c r="F49" s="13">
        <f>B49*VLOOKUP("BossHPMultiplier",BALANCE_INPUTS!$B$4:$C$18,2,FALSE)</f>
        <v>438871438.56106001</v>
      </c>
      <c r="G49" s="14">
        <f>ROUND(VLOOKUP("BaseMobCount",BALANCE_INPUTS!$B$4:$C$18,2,FALSE)*POWER(VLOOKUP("MobCountGrowth",BALANCE_INPUTS!$B$4:$C$18,2,FALSE),A49-1),0)</f>
        <v>2518998519</v>
      </c>
      <c r="H49" s="13">
        <f t="shared" si="2"/>
        <v>9212637531389248</v>
      </c>
      <c r="I49" s="13">
        <f>B49/VLOOKUP("TargetTTK_Normal",BALANCE_INPUTS!$B$4:$C$18,2,FALSE)</f>
        <v>2285788.7425055206</v>
      </c>
      <c r="J49" t="str">
        <f t="shared" si="3"/>
        <v/>
      </c>
    </row>
    <row r="50" spans="1:10" x14ac:dyDescent="0.3">
      <c r="A50">
        <f>47</f>
        <v>47</v>
      </c>
      <c r="B50" s="13">
        <f>VLOOKUP("BaseHP",BALANCE_INPUTS!$B$4:$C$18,2,FALSE)*POWER(VLOOKUP("GrowthRate",BALANCE_INPUTS!$B$4:$C$18,2,FALSE),A50-1)</f>
        <v>4388714.3856105991</v>
      </c>
      <c r="C50" s="13">
        <f>B50*VLOOKUP("FastHPMultiplier",BALANCE_INPUTS!$B$4:$C$18,2,FALSE)</f>
        <v>3072100.0699274191</v>
      </c>
      <c r="D50" s="13">
        <f>B50*VLOOKUP("TankHPMultiplier",BALANCE_INPUTS!$B$4:$C$18,2,FALSE)</f>
        <v>13166143.156831797</v>
      </c>
      <c r="E50" s="13">
        <f>B50*VLOOKUP("EliteHPMultiplier",BALANCE_INPUTS!$B$4:$C$18,2,FALSE)</f>
        <v>52664572.627327189</v>
      </c>
      <c r="F50" s="13">
        <f>B50*VLOOKUP("BossHPMultiplier",BALANCE_INPUTS!$B$4:$C$18,2,FALSE)</f>
        <v>526645726.27327192</v>
      </c>
      <c r="G50" s="14">
        <f>ROUND(VLOOKUP("BaseMobCount",BALANCE_INPUTS!$B$4:$C$18,2,FALSE)*POWER(VLOOKUP("MobCountGrowth",BALANCE_INPUTS!$B$4:$C$18,2,FALSE),A50-1),0)</f>
        <v>3778497779</v>
      </c>
      <c r="H50" s="13">
        <f t="shared" si="2"/>
        <v>1.6582747558694998E+16</v>
      </c>
      <c r="I50" s="13">
        <f>B50/VLOOKUP("TargetTTK_Normal",BALANCE_INPUTS!$B$4:$C$18,2,FALSE)</f>
        <v>2742946.4910066244</v>
      </c>
      <c r="J50" t="str">
        <f t="shared" si="3"/>
        <v/>
      </c>
    </row>
    <row r="51" spans="1:10" x14ac:dyDescent="0.3">
      <c r="A51">
        <f>48</f>
        <v>48</v>
      </c>
      <c r="B51" s="13">
        <f>VLOOKUP("BaseHP",BALANCE_INPUTS!$B$4:$C$18,2,FALSE)*POWER(VLOOKUP("GrowthRate",BALANCE_INPUTS!$B$4:$C$18,2,FALSE),A51-1)</f>
        <v>5266457.26273272</v>
      </c>
      <c r="C51" s="13">
        <f>B51*VLOOKUP("FastHPMultiplier",BALANCE_INPUTS!$B$4:$C$18,2,FALSE)</f>
        <v>3686520.0839129039</v>
      </c>
      <c r="D51" s="13">
        <f>B51*VLOOKUP("TankHPMultiplier",BALANCE_INPUTS!$B$4:$C$18,2,FALSE)</f>
        <v>15799371.78819816</v>
      </c>
      <c r="E51" s="13">
        <f>B51*VLOOKUP("EliteHPMultiplier",BALANCE_INPUTS!$B$4:$C$18,2,FALSE)</f>
        <v>63197487.15279264</v>
      </c>
      <c r="F51" s="13">
        <f>B51*VLOOKUP("BossHPMultiplier",BALANCE_INPUTS!$B$4:$C$18,2,FALSE)</f>
        <v>631974871.52792645</v>
      </c>
      <c r="G51" s="14">
        <f>ROUND(VLOOKUP("BaseMobCount",BALANCE_INPUTS!$B$4:$C$18,2,FALSE)*POWER(VLOOKUP("MobCountGrowth",BALANCE_INPUTS!$B$4:$C$18,2,FALSE),A51-1),0)</f>
        <v>5667746669</v>
      </c>
      <c r="H51" s="13">
        <f t="shared" si="2"/>
        <v>2.9848945608284232E+16</v>
      </c>
      <c r="I51" s="13">
        <f>B51/VLOOKUP("TargetTTK_Normal",BALANCE_INPUTS!$B$4:$C$18,2,FALSE)</f>
        <v>3291535.7892079498</v>
      </c>
      <c r="J51" t="str">
        <f t="shared" si="3"/>
        <v/>
      </c>
    </row>
    <row r="52" spans="1:10" x14ac:dyDescent="0.3">
      <c r="A52">
        <f>49</f>
        <v>49</v>
      </c>
      <c r="B52" s="13">
        <f>VLOOKUP("BaseHP",BALANCE_INPUTS!$B$4:$C$18,2,FALSE)*POWER(VLOOKUP("GrowthRate",BALANCE_INPUTS!$B$4:$C$18,2,FALSE),A52-1)</f>
        <v>6319748.7152792625</v>
      </c>
      <c r="C52" s="13">
        <f>B52*VLOOKUP("FastHPMultiplier",BALANCE_INPUTS!$B$4:$C$18,2,FALSE)</f>
        <v>4423824.1006954834</v>
      </c>
      <c r="D52" s="13">
        <f>B52*VLOOKUP("TankHPMultiplier",BALANCE_INPUTS!$B$4:$C$18,2,FALSE)</f>
        <v>18959246.145837788</v>
      </c>
      <c r="E52" s="13">
        <f>B52*VLOOKUP("EliteHPMultiplier",BALANCE_INPUTS!$B$4:$C$18,2,FALSE)</f>
        <v>75836984.58335115</v>
      </c>
      <c r="F52" s="13">
        <f>B52*VLOOKUP("BossHPMultiplier",BALANCE_INPUTS!$B$4:$C$18,2,FALSE)</f>
        <v>758369845.83351147</v>
      </c>
      <c r="G52" s="14">
        <f>ROUND(VLOOKUP("BaseMobCount",BALANCE_INPUTS!$B$4:$C$18,2,FALSE)*POWER(VLOOKUP("MobCountGrowth",BALANCE_INPUTS!$B$4:$C$18,2,FALSE),A52-1),0)</f>
        <v>8501620003</v>
      </c>
      <c r="H52" s="13">
        <f t="shared" si="2"/>
        <v>5.3728102091751728E+16</v>
      </c>
      <c r="I52" s="13">
        <f>B52/VLOOKUP("TargetTTK_Normal",BALANCE_INPUTS!$B$4:$C$18,2,FALSE)</f>
        <v>3949842.9470495391</v>
      </c>
      <c r="J52" t="str">
        <f t="shared" si="3"/>
        <v/>
      </c>
    </row>
    <row r="53" spans="1:10" x14ac:dyDescent="0.3">
      <c r="A53">
        <f>50</f>
        <v>50</v>
      </c>
      <c r="B53" s="13">
        <f>VLOOKUP("BaseHP",BALANCE_INPUTS!$B$4:$C$18,2,FALSE)*POWER(VLOOKUP("GrowthRate",BALANCE_INPUTS!$B$4:$C$18,2,FALSE),A53-1)</f>
        <v>7583698.4583351156</v>
      </c>
      <c r="C53" s="13">
        <f>B53*VLOOKUP("FastHPMultiplier",BALANCE_INPUTS!$B$4:$C$18,2,FALSE)</f>
        <v>5308588.9208345804</v>
      </c>
      <c r="D53" s="13">
        <f>B53*VLOOKUP("TankHPMultiplier",BALANCE_INPUTS!$B$4:$C$18,2,FALSE)</f>
        <v>22751095.375005346</v>
      </c>
      <c r="E53" s="13">
        <f>B53*VLOOKUP("EliteHPMultiplier",BALANCE_INPUTS!$B$4:$C$18,2,FALSE)</f>
        <v>91004381.500021383</v>
      </c>
      <c r="F53" s="13">
        <f>B53*VLOOKUP("BossHPMultiplier",BALANCE_INPUTS!$B$4:$C$18,2,FALSE)</f>
        <v>910043815.00021386</v>
      </c>
      <c r="G53" s="14">
        <f>ROUND(VLOOKUP("BaseMobCount",BALANCE_INPUTS!$B$4:$C$18,2,FALSE)*POWER(VLOOKUP("MobCountGrowth",BALANCE_INPUTS!$B$4:$C$18,2,FALSE),A53-1),0)</f>
        <v>12752430004</v>
      </c>
      <c r="H53" s="13">
        <f t="shared" si="2"/>
        <v>9.6710583761361264E+16</v>
      </c>
      <c r="I53" s="13">
        <f>B53/VLOOKUP("TargetTTK_Normal",BALANCE_INPUTS!$B$4:$C$18,2,FALSE)</f>
        <v>4739811.5364594469</v>
      </c>
      <c r="J53" t="str">
        <f t="shared" si="3"/>
        <v>Boss checkpoint</v>
      </c>
    </row>
  </sheetData>
  <mergeCells count="1">
    <mergeCell ref="A1:J1"/>
  </mergeCells>
  <phoneticPr fontId="7" type="noConversion"/>
  <conditionalFormatting sqref="B4:B53">
    <cfRule type="dataBar" priority="1">
      <dataBar>
        <cfvo type="min"/>
        <cfvo type="max"/>
        <color rgb="FF60A5FA"/>
      </dataBar>
    </cfRule>
    <cfRule type="dataBar" priority="2">
      <dataBar>
        <cfvo type="min"/>
        <cfvo type="max"/>
        <color rgb="FF60A5FA"/>
      </dataBar>
      <extLst>
        <ext xmlns:x14="http://schemas.microsoft.com/office/spreadsheetml/2009/9/main" uri="{B025F937-C7B1-47D3-B67F-A62EFF666E3E}">
          <x14:id>{FFA81E01-4514-2DAB-CC80-16C865654805}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FA81E01-4514-2DAB-CC80-16C865654805}">
            <x14:dataBar>
              <x14:cfvo type="min"/>
              <x14:cfvo type="max"/>
              <x14:negativeFillColor auto="1"/>
              <x14:axisColor auto="1"/>
            </x14:dataBar>
          </x14:cfRule>
          <xm:sqref>B4:B53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workbookViewId="0">
      <selection activeCell="C26" sqref="C26"/>
    </sheetView>
  </sheetViews>
  <sheetFormatPr defaultRowHeight="16.5" x14ac:dyDescent="0.3"/>
  <cols>
    <col min="1" max="1" width="66.25" customWidth="1"/>
    <col min="2" max="2" width="16.375" customWidth="1"/>
    <col min="3" max="3" width="11.125" customWidth="1"/>
    <col min="4" max="4" width="17.375" customWidth="1"/>
    <col min="5" max="5" width="9.875" customWidth="1"/>
    <col min="6" max="6" width="9.375" customWidth="1"/>
    <col min="7" max="7" width="34.25" customWidth="1"/>
    <col min="9" max="9" width="9" customWidth="1"/>
    <col min="10" max="10" width="6.75" customWidth="1"/>
    <col min="11" max="11" width="10.125" customWidth="1"/>
    <col min="12" max="13" width="9" customWidth="1"/>
    <col min="14" max="14" width="3.875" customWidth="1"/>
  </cols>
  <sheetData>
    <row r="1" spans="1:14" ht="20.25" x14ac:dyDescent="0.3">
      <c r="A1" s="16" t="s">
        <v>1710</v>
      </c>
      <c r="B1" s="17"/>
      <c r="C1" s="17"/>
      <c r="D1" s="17"/>
      <c r="E1" s="17"/>
      <c r="F1" s="17"/>
      <c r="G1" s="17"/>
      <c r="H1" s="17"/>
      <c r="I1" s="17"/>
      <c r="J1" s="17"/>
    </row>
    <row r="3" spans="1:14" x14ac:dyDescent="0.3">
      <c r="A3" s="11" t="s">
        <v>1304</v>
      </c>
      <c r="B3" s="11" t="s">
        <v>1711</v>
      </c>
      <c r="C3" s="11" t="s">
        <v>1712</v>
      </c>
      <c r="D3" s="11" t="s">
        <v>1690</v>
      </c>
      <c r="E3" s="11" t="s">
        <v>1713</v>
      </c>
      <c r="F3" s="11" t="s">
        <v>1714</v>
      </c>
      <c r="G3" s="11" t="s">
        <v>1715</v>
      </c>
      <c r="I3" s="11" t="s">
        <v>1681</v>
      </c>
      <c r="J3" s="11" t="s">
        <v>1716</v>
      </c>
      <c r="K3" s="11" t="s">
        <v>1717</v>
      </c>
      <c r="L3" s="11" t="s">
        <v>1718</v>
      </c>
      <c r="M3" s="11" t="s">
        <v>1719</v>
      </c>
      <c r="N3" s="11" t="s">
        <v>988</v>
      </c>
    </row>
    <row r="4" spans="1:14" x14ac:dyDescent="0.3">
      <c r="A4" t="s">
        <v>1352</v>
      </c>
      <c r="B4" s="15">
        <v>1</v>
      </c>
      <c r="C4" s="15">
        <v>0.9</v>
      </c>
      <c r="D4" s="15">
        <v>1</v>
      </c>
      <c r="E4" s="15">
        <v>1</v>
      </c>
      <c r="F4" s="15">
        <v>3</v>
      </c>
      <c r="G4" s="1" t="s">
        <v>1720</v>
      </c>
      <c r="I4" s="15">
        <f>VLOOKUP("BasePower",BALANCE_INPUTS!$B$4:$C$18,2,FALSE)</f>
        <v>450</v>
      </c>
      <c r="J4" s="15">
        <f t="shared" ref="J4:J18" si="0">I4*B4</f>
        <v>450</v>
      </c>
      <c r="K4" s="15">
        <f t="shared" ref="K4:K18" si="1">J4*C4</f>
        <v>405</v>
      </c>
      <c r="L4" s="15">
        <f t="shared" ref="L4:L18" si="2">K4*D4</f>
        <v>405</v>
      </c>
      <c r="M4" s="15">
        <f>ENEMY_HP_CURVE!$B$4/K4</f>
        <v>2.4691358024691357</v>
      </c>
      <c r="N4" t="str">
        <f>IF(K4&gt;=VLOOKUP("BaseHP",BALANCE_INPUTS!$B$4:$C$18,2,FALSE)/VLOOKUP("TargetTTK_Normal",BALANCE_INPUTS!$B$4:$C$18,2,FALSE),"OK","LOW")</f>
        <v>LOW</v>
      </c>
    </row>
    <row r="5" spans="1:14" x14ac:dyDescent="0.3">
      <c r="A5" t="s">
        <v>1386</v>
      </c>
      <c r="B5" s="15">
        <v>1</v>
      </c>
      <c r="C5" s="15">
        <v>0.9</v>
      </c>
      <c r="D5" s="15">
        <v>1</v>
      </c>
      <c r="E5" s="15">
        <v>1</v>
      </c>
      <c r="F5" s="15">
        <v>3</v>
      </c>
      <c r="G5" s="1" t="s">
        <v>1721</v>
      </c>
      <c r="I5" s="15">
        <f>VLOOKUP("BasePower",BALANCE_INPUTS!$B$4:$C$18,2,FALSE)</f>
        <v>450</v>
      </c>
      <c r="J5" s="15">
        <f t="shared" si="0"/>
        <v>450</v>
      </c>
      <c r="K5" s="15">
        <f t="shared" si="1"/>
        <v>405</v>
      </c>
      <c r="L5" s="15">
        <f t="shared" si="2"/>
        <v>405</v>
      </c>
      <c r="M5" s="15">
        <f>ENEMY_HP_CURVE!$B$4/K5</f>
        <v>2.4691358024691357</v>
      </c>
      <c r="N5" t="str">
        <f>IF(K5&gt;=VLOOKUP("BaseHP",BALANCE_INPUTS!$B$4:$C$18,2,FALSE)/VLOOKUP("TargetTTK_Normal",BALANCE_INPUTS!$B$4:$C$18,2,FALSE),"OK","LOW")</f>
        <v>LOW</v>
      </c>
    </row>
    <row r="6" spans="1:14" x14ac:dyDescent="0.3">
      <c r="A6" t="s">
        <v>1330</v>
      </c>
      <c r="B6" s="15">
        <v>0.75</v>
      </c>
      <c r="C6" s="15">
        <v>0.85</v>
      </c>
      <c r="D6" s="15">
        <v>1.2</v>
      </c>
      <c r="E6" s="15">
        <v>4</v>
      </c>
      <c r="F6" s="15">
        <v>2</v>
      </c>
      <c r="G6" s="1" t="s">
        <v>1722</v>
      </c>
      <c r="I6" s="15">
        <f>VLOOKUP("BasePower",BALANCE_INPUTS!$B$4:$C$18,2,FALSE)</f>
        <v>450</v>
      </c>
      <c r="J6" s="15">
        <f t="shared" si="0"/>
        <v>337.5</v>
      </c>
      <c r="K6" s="15">
        <f t="shared" si="1"/>
        <v>286.875</v>
      </c>
      <c r="L6" s="15">
        <f t="shared" si="2"/>
        <v>344.25</v>
      </c>
      <c r="M6" s="15">
        <f>ENEMY_HP_CURVE!$B$4/K6</f>
        <v>3.4858387799564272</v>
      </c>
      <c r="N6" t="str">
        <f>IF(K6&gt;=VLOOKUP("BaseHP",BALANCE_INPUTS!$B$4:$C$18,2,FALSE)/VLOOKUP("TargetTTK_Normal",BALANCE_INPUTS!$B$4:$C$18,2,FALSE),"OK","LOW")</f>
        <v>LOW</v>
      </c>
    </row>
    <row r="7" spans="1:14" x14ac:dyDescent="0.3">
      <c r="A7" t="s">
        <v>1340</v>
      </c>
      <c r="B7" s="15">
        <v>0.7</v>
      </c>
      <c r="C7" s="15">
        <v>0.9</v>
      </c>
      <c r="D7" s="15">
        <v>1</v>
      </c>
      <c r="E7" s="15">
        <v>5</v>
      </c>
      <c r="F7" s="15">
        <v>2</v>
      </c>
      <c r="G7" s="1" t="s">
        <v>1723</v>
      </c>
      <c r="I7" s="15">
        <f>VLOOKUP("BasePower",BALANCE_INPUTS!$B$4:$C$18,2,FALSE)</f>
        <v>450</v>
      </c>
      <c r="J7" s="15">
        <f t="shared" si="0"/>
        <v>315</v>
      </c>
      <c r="K7" s="15">
        <f t="shared" si="1"/>
        <v>283.5</v>
      </c>
      <c r="L7" s="15">
        <f t="shared" si="2"/>
        <v>283.5</v>
      </c>
      <c r="M7" s="15">
        <f>ENEMY_HP_CURVE!$B$4/K7</f>
        <v>3.5273368606701938</v>
      </c>
      <c r="N7" t="str">
        <f>IF(K7&gt;=VLOOKUP("BaseHP",BALANCE_INPUTS!$B$4:$C$18,2,FALSE)/VLOOKUP("TargetTTK_Normal",BALANCE_INPUTS!$B$4:$C$18,2,FALSE),"OK","LOW")</f>
        <v>LOW</v>
      </c>
    </row>
    <row r="8" spans="1:14" x14ac:dyDescent="0.3">
      <c r="A8" t="s">
        <v>1724</v>
      </c>
      <c r="B8" s="15">
        <v>0.68</v>
      </c>
      <c r="C8" s="15">
        <v>0.9</v>
      </c>
      <c r="D8" s="15">
        <v>1</v>
      </c>
      <c r="E8" s="15">
        <v>5</v>
      </c>
      <c r="F8" s="15">
        <v>2</v>
      </c>
      <c r="G8" s="1" t="s">
        <v>1725</v>
      </c>
      <c r="I8" s="15">
        <f>VLOOKUP("BasePower",BALANCE_INPUTS!$B$4:$C$18,2,FALSE)</f>
        <v>450</v>
      </c>
      <c r="J8" s="15">
        <f t="shared" si="0"/>
        <v>306</v>
      </c>
      <c r="K8" s="15">
        <f t="shared" si="1"/>
        <v>275.40000000000003</v>
      </c>
      <c r="L8" s="15">
        <f t="shared" si="2"/>
        <v>275.40000000000003</v>
      </c>
      <c r="M8" s="15">
        <f>ENEMY_HP_CURVE!$B$4/K8</f>
        <v>3.631082062454611</v>
      </c>
      <c r="N8" t="str">
        <f>IF(K8&gt;=VLOOKUP("BaseHP",BALANCE_INPUTS!$B$4:$C$18,2,FALSE)/VLOOKUP("TargetTTK_Normal",BALANCE_INPUTS!$B$4:$C$18,2,FALSE),"OK","LOW")</f>
        <v>LOW</v>
      </c>
    </row>
    <row r="9" spans="1:14" x14ac:dyDescent="0.3">
      <c r="A9" t="s">
        <v>1726</v>
      </c>
      <c r="B9" s="15">
        <v>0.65</v>
      </c>
      <c r="C9" s="15">
        <v>0.75</v>
      </c>
      <c r="D9" s="15">
        <v>1.1000000000000001</v>
      </c>
      <c r="E9" s="15">
        <v>3</v>
      </c>
      <c r="F9" s="15">
        <v>3</v>
      </c>
      <c r="G9" s="1" t="s">
        <v>1727</v>
      </c>
      <c r="I9" s="15">
        <f>VLOOKUP("BasePower",BALANCE_INPUTS!$B$4:$C$18,2,FALSE)</f>
        <v>450</v>
      </c>
      <c r="J9" s="15">
        <f t="shared" si="0"/>
        <v>292.5</v>
      </c>
      <c r="K9" s="15">
        <f t="shared" si="1"/>
        <v>219.375</v>
      </c>
      <c r="L9" s="15">
        <f t="shared" si="2"/>
        <v>241.31250000000003</v>
      </c>
      <c r="M9" s="15">
        <f>ENEMY_HP_CURVE!$B$4/K9</f>
        <v>4.5584045584045585</v>
      </c>
      <c r="N9" t="str">
        <f>IF(K9&gt;=VLOOKUP("BaseHP",BALANCE_INPUTS!$B$4:$C$18,2,FALSE)/VLOOKUP("TargetTTK_Normal",BALANCE_INPUTS!$B$4:$C$18,2,FALSE),"OK","LOW")</f>
        <v>LOW</v>
      </c>
    </row>
    <row r="10" spans="1:14" x14ac:dyDescent="0.3">
      <c r="A10" t="s">
        <v>1436</v>
      </c>
      <c r="B10" s="15">
        <v>0.6</v>
      </c>
      <c r="C10" s="15">
        <v>0.75</v>
      </c>
      <c r="D10" s="15">
        <v>0.85</v>
      </c>
      <c r="E10" s="15">
        <v>6</v>
      </c>
      <c r="F10" s="15">
        <v>4</v>
      </c>
      <c r="G10" s="1" t="s">
        <v>1728</v>
      </c>
      <c r="I10" s="15">
        <f>VLOOKUP("BasePower",BALANCE_INPUTS!$B$4:$C$18,2,FALSE)</f>
        <v>450</v>
      </c>
      <c r="J10" s="15">
        <f t="shared" si="0"/>
        <v>270</v>
      </c>
      <c r="K10" s="15">
        <f t="shared" si="1"/>
        <v>202.5</v>
      </c>
      <c r="L10" s="15">
        <f t="shared" si="2"/>
        <v>172.125</v>
      </c>
      <c r="M10" s="15">
        <f>ENEMY_HP_CURVE!$B$4/K10</f>
        <v>4.9382716049382713</v>
      </c>
      <c r="N10" t="str">
        <f>IF(K10&gt;=VLOOKUP("BaseHP",BALANCE_INPUTS!$B$4:$C$18,2,FALSE)/VLOOKUP("TargetTTK_Normal",BALANCE_INPUTS!$B$4:$C$18,2,FALSE),"OK","LOW")</f>
        <v>LOW</v>
      </c>
    </row>
    <row r="11" spans="1:14" x14ac:dyDescent="0.3">
      <c r="A11" t="s">
        <v>1318</v>
      </c>
      <c r="B11" s="15">
        <v>0.35</v>
      </c>
      <c r="C11" s="15">
        <v>0.65</v>
      </c>
      <c r="D11" s="15">
        <v>1</v>
      </c>
      <c r="E11" s="15">
        <v>0</v>
      </c>
      <c r="F11" s="15">
        <v>4</v>
      </c>
      <c r="G11" s="1" t="s">
        <v>1729</v>
      </c>
      <c r="I11" s="15">
        <f>VLOOKUP("BasePower",BALANCE_INPUTS!$B$4:$C$18,2,FALSE)</f>
        <v>450</v>
      </c>
      <c r="J11" s="15">
        <f t="shared" si="0"/>
        <v>157.5</v>
      </c>
      <c r="K11" s="15">
        <f t="shared" si="1"/>
        <v>102.375</v>
      </c>
      <c r="L11" s="15">
        <f t="shared" si="2"/>
        <v>102.375</v>
      </c>
      <c r="M11" s="15">
        <f>ENEMY_HP_CURVE!$B$4/K11</f>
        <v>9.7680097680097688</v>
      </c>
      <c r="N11" t="str">
        <f>IF(K11&gt;=VLOOKUP("BaseHP",BALANCE_INPUTS!$B$4:$C$18,2,FALSE)/VLOOKUP("TargetTTK_Normal",BALANCE_INPUTS!$B$4:$C$18,2,FALSE),"OK","LOW")</f>
        <v>LOW</v>
      </c>
    </row>
    <row r="12" spans="1:14" x14ac:dyDescent="0.3">
      <c r="A12" t="s">
        <v>1730</v>
      </c>
      <c r="B12" s="15">
        <v>0.55000000000000004</v>
      </c>
      <c r="C12" s="15">
        <v>0.85</v>
      </c>
      <c r="D12" s="15">
        <v>1</v>
      </c>
      <c r="E12" s="15">
        <v>3</v>
      </c>
      <c r="F12" s="15">
        <v>3</v>
      </c>
      <c r="G12" s="1" t="s">
        <v>1731</v>
      </c>
      <c r="I12" s="15">
        <f>VLOOKUP("BasePower",BALANCE_INPUTS!$B$4:$C$18,2,FALSE)</f>
        <v>450</v>
      </c>
      <c r="J12" s="15">
        <f t="shared" si="0"/>
        <v>247.50000000000003</v>
      </c>
      <c r="K12" s="15">
        <f t="shared" si="1"/>
        <v>210.37500000000003</v>
      </c>
      <c r="L12" s="15">
        <f t="shared" si="2"/>
        <v>210.37500000000003</v>
      </c>
      <c r="M12" s="15">
        <f>ENEMY_HP_CURVE!$B$4/K12</f>
        <v>4.7534165181223997</v>
      </c>
      <c r="N12" t="str">
        <f>IF(K12&gt;=VLOOKUP("BaseHP",BALANCE_INPUTS!$B$4:$C$18,2,FALSE)/VLOOKUP("TargetTTK_Normal",BALANCE_INPUTS!$B$4:$C$18,2,FALSE),"OK","LOW")</f>
        <v>LOW</v>
      </c>
    </row>
    <row r="13" spans="1:14" x14ac:dyDescent="0.3">
      <c r="A13" t="s">
        <v>1732</v>
      </c>
      <c r="B13" s="15">
        <v>0.5</v>
      </c>
      <c r="C13" s="15">
        <v>0.85</v>
      </c>
      <c r="D13" s="15">
        <v>1</v>
      </c>
      <c r="E13" s="15">
        <v>4</v>
      </c>
      <c r="F13" s="15">
        <v>3</v>
      </c>
      <c r="G13" s="1" t="s">
        <v>1733</v>
      </c>
      <c r="I13" s="15">
        <f>VLOOKUP("BasePower",BALANCE_INPUTS!$B$4:$C$18,2,FALSE)</f>
        <v>450</v>
      </c>
      <c r="J13" s="15">
        <f t="shared" si="0"/>
        <v>225</v>
      </c>
      <c r="K13" s="15">
        <f t="shared" si="1"/>
        <v>191.25</v>
      </c>
      <c r="L13" s="15">
        <f t="shared" si="2"/>
        <v>191.25</v>
      </c>
      <c r="M13" s="15">
        <f>ENEMY_HP_CURVE!$B$4/K13</f>
        <v>5.2287581699346406</v>
      </c>
      <c r="N13" t="str">
        <f>IF(K13&gt;=VLOOKUP("BaseHP",BALANCE_INPUTS!$B$4:$C$18,2,FALSE)/VLOOKUP("TargetTTK_Normal",BALANCE_INPUTS!$B$4:$C$18,2,FALSE),"OK","LOW")</f>
        <v>LOW</v>
      </c>
    </row>
    <row r="14" spans="1:14" x14ac:dyDescent="0.3">
      <c r="A14" t="s">
        <v>1734</v>
      </c>
      <c r="B14" s="15">
        <v>1.1499999999999999</v>
      </c>
      <c r="C14" s="15">
        <v>0.9</v>
      </c>
      <c r="D14" s="15">
        <v>0.8</v>
      </c>
      <c r="E14" s="15">
        <v>1</v>
      </c>
      <c r="F14" s="15">
        <v>1</v>
      </c>
      <c r="G14" s="1" t="s">
        <v>1735</v>
      </c>
      <c r="I14" s="15">
        <f>VLOOKUP("BasePower",BALANCE_INPUTS!$B$4:$C$18,2,FALSE)</f>
        <v>450</v>
      </c>
      <c r="J14" s="15">
        <f t="shared" si="0"/>
        <v>517.5</v>
      </c>
      <c r="K14" s="15">
        <f t="shared" si="1"/>
        <v>465.75</v>
      </c>
      <c r="L14" s="15">
        <f t="shared" si="2"/>
        <v>372.6</v>
      </c>
      <c r="M14" s="15">
        <f>ENEMY_HP_CURVE!$B$4/K14</f>
        <v>2.147074610842727</v>
      </c>
      <c r="N14" t="str">
        <f>IF(K14&gt;=VLOOKUP("BaseHP",BALANCE_INPUTS!$B$4:$C$18,2,FALSE)/VLOOKUP("TargetTTK_Normal",BALANCE_INPUTS!$B$4:$C$18,2,FALSE),"OK","LOW")</f>
        <v>LOW</v>
      </c>
    </row>
    <row r="15" spans="1:14" x14ac:dyDescent="0.3">
      <c r="A15" t="s">
        <v>1736</v>
      </c>
      <c r="B15" s="15">
        <v>1.45</v>
      </c>
      <c r="C15" s="15">
        <v>0.95</v>
      </c>
      <c r="D15" s="15">
        <v>1.3</v>
      </c>
      <c r="E15" s="15">
        <v>1</v>
      </c>
      <c r="F15" s="15">
        <v>3</v>
      </c>
      <c r="G15" s="1" t="s">
        <v>1737</v>
      </c>
      <c r="I15" s="15">
        <f>VLOOKUP("BasePower",BALANCE_INPUTS!$B$4:$C$18,2,FALSE)</f>
        <v>450</v>
      </c>
      <c r="J15" s="15">
        <f t="shared" si="0"/>
        <v>652.5</v>
      </c>
      <c r="K15" s="15">
        <f t="shared" si="1"/>
        <v>619.875</v>
      </c>
      <c r="L15" s="15">
        <f t="shared" si="2"/>
        <v>805.83749999999998</v>
      </c>
      <c r="M15" s="15">
        <f>ENEMY_HP_CURVE!$B$4/K15</f>
        <v>1.613228473482557</v>
      </c>
      <c r="N15" t="str">
        <f>IF(K15&gt;=VLOOKUP("BaseHP",BALANCE_INPUTS!$B$4:$C$18,2,FALSE)/VLOOKUP("TargetTTK_Normal",BALANCE_INPUTS!$B$4:$C$18,2,FALSE),"OK","LOW")</f>
        <v>LOW</v>
      </c>
    </row>
    <row r="16" spans="1:14" x14ac:dyDescent="0.3">
      <c r="A16" t="s">
        <v>1738</v>
      </c>
      <c r="B16" s="15">
        <v>0.9</v>
      </c>
      <c r="C16" s="15">
        <v>0.85</v>
      </c>
      <c r="D16" s="15">
        <v>1.5</v>
      </c>
      <c r="E16" s="15">
        <v>3</v>
      </c>
      <c r="F16" s="15">
        <v>2</v>
      </c>
      <c r="G16" s="1" t="s">
        <v>1739</v>
      </c>
      <c r="I16" s="15">
        <f>VLOOKUP("BasePower",BALANCE_INPUTS!$B$4:$C$18,2,FALSE)</f>
        <v>450</v>
      </c>
      <c r="J16" s="15">
        <f t="shared" si="0"/>
        <v>405</v>
      </c>
      <c r="K16" s="15">
        <f t="shared" si="1"/>
        <v>344.25</v>
      </c>
      <c r="L16" s="15">
        <f t="shared" si="2"/>
        <v>516.375</v>
      </c>
      <c r="M16" s="15">
        <f>ENEMY_HP_CURVE!$B$4/K16</f>
        <v>2.9048656499636891</v>
      </c>
      <c r="N16" t="str">
        <f>IF(K16&gt;=VLOOKUP("BaseHP",BALANCE_INPUTS!$B$4:$C$18,2,FALSE)/VLOOKUP("TargetTTK_Normal",BALANCE_INPUTS!$B$4:$C$18,2,FALSE),"OK","LOW")</f>
        <v>LOW</v>
      </c>
    </row>
    <row r="17" spans="1:14" x14ac:dyDescent="0.3">
      <c r="A17" t="s">
        <v>1740</v>
      </c>
      <c r="B17" s="15">
        <v>0.85</v>
      </c>
      <c r="C17" s="15">
        <v>0.8</v>
      </c>
      <c r="D17" s="15">
        <v>0.25</v>
      </c>
      <c r="E17" s="15">
        <v>1</v>
      </c>
      <c r="F17" s="15">
        <v>4</v>
      </c>
      <c r="G17" s="1" t="s">
        <v>1741</v>
      </c>
      <c r="I17" s="15">
        <f>VLOOKUP("BasePower",BALANCE_INPUTS!$B$4:$C$18,2,FALSE)</f>
        <v>450</v>
      </c>
      <c r="J17" s="15">
        <f t="shared" si="0"/>
        <v>382.5</v>
      </c>
      <c r="K17" s="15">
        <f t="shared" si="1"/>
        <v>306</v>
      </c>
      <c r="L17" s="15">
        <f t="shared" si="2"/>
        <v>76.5</v>
      </c>
      <c r="M17" s="15">
        <f>ENEMY_HP_CURVE!$B$4/K17</f>
        <v>3.2679738562091503</v>
      </c>
      <c r="N17" t="str">
        <f>IF(K17&gt;=VLOOKUP("BaseHP",BALANCE_INPUTS!$B$4:$C$18,2,FALSE)/VLOOKUP("TargetTTK_Normal",BALANCE_INPUTS!$B$4:$C$18,2,FALSE),"OK","LOW")</f>
        <v>LOW</v>
      </c>
    </row>
    <row r="18" spans="1:14" x14ac:dyDescent="0.3">
      <c r="A18" t="s">
        <v>1742</v>
      </c>
      <c r="B18" s="15">
        <v>0.85</v>
      </c>
      <c r="C18" s="15">
        <v>0.9</v>
      </c>
      <c r="D18" s="15">
        <v>1</v>
      </c>
      <c r="E18" s="15">
        <v>1</v>
      </c>
      <c r="F18" s="15">
        <v>2</v>
      </c>
      <c r="G18" s="1" t="s">
        <v>1743</v>
      </c>
      <c r="I18" s="15">
        <f>VLOOKUP("BasePower",BALANCE_INPUTS!$B$4:$C$18,2,FALSE)</f>
        <v>450</v>
      </c>
      <c r="J18" s="15">
        <f t="shared" si="0"/>
        <v>382.5</v>
      </c>
      <c r="K18" s="15">
        <f t="shared" si="1"/>
        <v>344.25</v>
      </c>
      <c r="L18" s="15">
        <f t="shared" si="2"/>
        <v>344.25</v>
      </c>
      <c r="M18" s="15">
        <f>ENEMY_HP_CURVE!$B$4/K18</f>
        <v>2.9048656499636891</v>
      </c>
      <c r="N18" t="str">
        <f>IF(K18&gt;=VLOOKUP("BaseHP",BALANCE_INPUTS!$B$4:$C$18,2,FALSE)/VLOOKUP("TargetTTK_Normal",BALANCE_INPUTS!$B$4:$C$18,2,FALSE),"OK","LOW")</f>
        <v>LOW</v>
      </c>
    </row>
    <row r="19" spans="1:14" x14ac:dyDescent="0.3">
      <c r="B19" s="15"/>
      <c r="C19" s="15"/>
      <c r="D19" s="15"/>
      <c r="E19" s="15"/>
      <c r="F19" s="15"/>
      <c r="G19" s="1"/>
      <c r="I19" s="15"/>
      <c r="J19" s="15"/>
      <c r="K19" s="15"/>
      <c r="L19" s="15"/>
      <c r="M19" s="15"/>
    </row>
  </sheetData>
  <mergeCells count="1">
    <mergeCell ref="A1:J1"/>
  </mergeCells>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0"/>
  <sheetViews>
    <sheetView topLeftCell="A64" workbookViewId="0">
      <selection sqref="A1:K1"/>
    </sheetView>
  </sheetViews>
  <sheetFormatPr defaultRowHeight="16.5" x14ac:dyDescent="0.3"/>
  <cols>
    <col min="1" max="1" width="62.75" customWidth="1"/>
    <col min="2" max="2" width="68.625" customWidth="1"/>
    <col min="3" max="3" width="23.25" customWidth="1"/>
    <col min="4" max="4" width="35.375" customWidth="1"/>
    <col min="5" max="5" width="10.625" customWidth="1"/>
    <col min="6" max="6" width="7.375" customWidth="1"/>
    <col min="7" max="7" width="9.375" customWidth="1"/>
    <col min="8" max="8" width="6.625" customWidth="1"/>
    <col min="9" max="9" width="13.25" customWidth="1"/>
    <col min="10" max="10" width="49.75" customWidth="1"/>
    <col min="11" max="11" width="120" customWidth="1"/>
  </cols>
  <sheetData>
    <row r="1" spans="1:11" ht="20.25" x14ac:dyDescent="0.3">
      <c r="A1" s="16" t="s">
        <v>1744</v>
      </c>
      <c r="B1" s="17"/>
      <c r="C1" s="17"/>
      <c r="D1" s="17"/>
      <c r="E1" s="17"/>
      <c r="F1" s="17"/>
      <c r="G1" s="17"/>
      <c r="H1" s="17"/>
      <c r="I1" s="17"/>
      <c r="J1" s="17"/>
      <c r="K1" s="17"/>
    </row>
    <row r="3" spans="1:11" x14ac:dyDescent="0.3">
      <c r="A3" s="11" t="s">
        <v>1476</v>
      </c>
      <c r="B3" s="11" t="s">
        <v>1171</v>
      </c>
      <c r="C3" s="11" t="s">
        <v>1478</v>
      </c>
      <c r="D3" s="11" t="s">
        <v>1477</v>
      </c>
      <c r="E3" s="11" t="s">
        <v>1745</v>
      </c>
      <c r="F3" s="11" t="s">
        <v>1746</v>
      </c>
      <c r="G3" s="11" t="s">
        <v>1747</v>
      </c>
      <c r="H3" s="11" t="s">
        <v>1748</v>
      </c>
      <c r="I3" s="11" t="s">
        <v>1749</v>
      </c>
      <c r="J3" s="11" t="s">
        <v>1715</v>
      </c>
      <c r="K3" s="11" t="s">
        <v>1316</v>
      </c>
    </row>
    <row r="4" spans="1:11" ht="33" x14ac:dyDescent="0.3">
      <c r="A4" t="s">
        <v>638</v>
      </c>
      <c r="B4" t="s">
        <v>1175</v>
      </c>
      <c r="C4" t="s">
        <v>1483</v>
      </c>
      <c r="D4" t="s">
        <v>1176</v>
      </c>
      <c r="E4" s="15">
        <f t="shared" ref="E4:E35" si="0">MAX(0.7,1+IF(ISNUMBER(SEARCH("Damage Multiplier",B4)),0.25,0)+IF(ISNUMBER(SEARCH("Penetration",B4)),0.18,0)+IF(ISNUMBER(SEARCH("Ailment",B4)),0.12,0)+IF(ISNUMBER(SEARCH("Duration",B4)),0.08,0)+IF(ISNUMBER(SEARCH("Projectile",B4)),0.1,0)+IF(ISNUMBER(SEARCH("Restriction",B4)),-0.05,0))</f>
        <v>1.25</v>
      </c>
      <c r="F4" s="15">
        <f t="shared" ref="F4:F35" si="1">1+IF(ISNUMBER(SEARCH("Damage Multiplier",B4)),0.18,0)+IF(ISNUMBER(SEARCH("Penetration",B4)),0.12,0)+IF(ISNUMBER(SEARCH("Ailment",B4)),0.1,0)+IF(ISNUMBER(SEARCH("Duration",B4)),0.08,0)+IF(ISNUMBER(SEARCH("Projectile",B4)),0.1,0)+IF(ISNUMBER(SEARCH("Resource",B4)),0.1,0)</f>
        <v>1.28</v>
      </c>
      <c r="G4" s="15">
        <f t="shared" ref="G4:G35" si="2">IF(ISNUMBER(SEARCH("Chain",B4)),5,0)+IF(ISNUMBER(SEARCH("Ailment",B4)),3,0)+IF(ISNUMBER(SEARCH("Duration",B4)),2,0)+IF(ISNUMBER(SEARCH("Penetration",B4)),2,0)+IF(ISNUMBER(SEARCH("Projectile",B4)),4,0)+IF(ISNUMBER(SEARCH("Restriction",B4)),-1,0)</f>
        <v>0</v>
      </c>
      <c r="H4" s="15">
        <f t="shared" ref="H4:H35" si="3">IF(E4&gt;=1.35,2,1)</f>
        <v>1</v>
      </c>
      <c r="I4" t="str">
        <f t="shared" ref="I4:I35" si="4">IF(E4&gt;=1.45,"Rare",IF(E4&gt;=1.25,"Uncommon","Common"))</f>
        <v>Uncommon</v>
      </c>
      <c r="J4" s="1" t="s">
        <v>1486</v>
      </c>
      <c r="K4" s="1" t="s">
        <v>645</v>
      </c>
    </row>
    <row r="5" spans="1:11" ht="33" x14ac:dyDescent="0.3">
      <c r="A5" t="s">
        <v>647</v>
      </c>
      <c r="B5" t="s">
        <v>1179</v>
      </c>
      <c r="C5" t="s">
        <v>1488</v>
      </c>
      <c r="D5" t="s">
        <v>425</v>
      </c>
      <c r="E5" s="15">
        <f t="shared" si="0"/>
        <v>0.95</v>
      </c>
      <c r="F5" s="15">
        <f t="shared" si="1"/>
        <v>1.1000000000000001</v>
      </c>
      <c r="G5" s="15">
        <f t="shared" si="2"/>
        <v>-1</v>
      </c>
      <c r="H5" s="15">
        <f t="shared" si="3"/>
        <v>1</v>
      </c>
      <c r="I5" t="str">
        <f t="shared" si="4"/>
        <v>Common</v>
      </c>
      <c r="J5" s="1" t="s">
        <v>1486</v>
      </c>
      <c r="K5" s="1" t="s">
        <v>1492</v>
      </c>
    </row>
    <row r="6" spans="1:11" ht="33" x14ac:dyDescent="0.3">
      <c r="A6" t="s">
        <v>654</v>
      </c>
      <c r="B6" t="s">
        <v>1182</v>
      </c>
      <c r="C6" t="s">
        <v>1493</v>
      </c>
      <c r="D6" t="s">
        <v>1183</v>
      </c>
      <c r="E6" s="15">
        <f t="shared" si="0"/>
        <v>1.1200000000000001</v>
      </c>
      <c r="F6" s="15">
        <f t="shared" si="1"/>
        <v>1.2000000000000002</v>
      </c>
      <c r="G6" s="15">
        <f t="shared" si="2"/>
        <v>3</v>
      </c>
      <c r="H6" s="15">
        <f t="shared" si="3"/>
        <v>1</v>
      </c>
      <c r="I6" t="str">
        <f t="shared" si="4"/>
        <v>Common</v>
      </c>
      <c r="J6" s="1" t="s">
        <v>1486</v>
      </c>
      <c r="K6" s="1" t="s">
        <v>660</v>
      </c>
    </row>
    <row r="7" spans="1:11" ht="33" x14ac:dyDescent="0.3">
      <c r="A7" t="s">
        <v>662</v>
      </c>
      <c r="B7" t="s">
        <v>1186</v>
      </c>
      <c r="C7" t="s">
        <v>1493</v>
      </c>
      <c r="D7" t="s">
        <v>1187</v>
      </c>
      <c r="E7" s="15">
        <f t="shared" si="0"/>
        <v>1.37</v>
      </c>
      <c r="F7" s="15">
        <f t="shared" si="1"/>
        <v>1.3800000000000001</v>
      </c>
      <c r="G7" s="15">
        <f t="shared" si="2"/>
        <v>3</v>
      </c>
      <c r="H7" s="15">
        <f t="shared" si="3"/>
        <v>2</v>
      </c>
      <c r="I7" t="str">
        <f t="shared" si="4"/>
        <v>Uncommon</v>
      </c>
      <c r="J7" s="1" t="s">
        <v>1486</v>
      </c>
      <c r="K7" s="1" t="s">
        <v>1497</v>
      </c>
    </row>
    <row r="8" spans="1:11" ht="33" x14ac:dyDescent="0.3">
      <c r="A8" t="s">
        <v>668</v>
      </c>
      <c r="B8" t="s">
        <v>1189</v>
      </c>
      <c r="C8" t="s">
        <v>1483</v>
      </c>
      <c r="D8" t="s">
        <v>1190</v>
      </c>
      <c r="E8" s="15">
        <f t="shared" si="0"/>
        <v>1.25</v>
      </c>
      <c r="F8" s="15">
        <f t="shared" si="1"/>
        <v>1.28</v>
      </c>
      <c r="G8" s="15">
        <f t="shared" si="2"/>
        <v>0</v>
      </c>
      <c r="H8" s="15">
        <f t="shared" si="3"/>
        <v>1</v>
      </c>
      <c r="I8" t="str">
        <f t="shared" si="4"/>
        <v>Uncommon</v>
      </c>
      <c r="J8" s="1" t="s">
        <v>1486</v>
      </c>
      <c r="K8" s="1" t="s">
        <v>1498</v>
      </c>
    </row>
    <row r="9" spans="1:11" ht="33" x14ac:dyDescent="0.3">
      <c r="A9" t="s">
        <v>675</v>
      </c>
      <c r="B9" t="s">
        <v>1192</v>
      </c>
      <c r="C9" t="s">
        <v>1499</v>
      </c>
      <c r="D9" t="s">
        <v>1193</v>
      </c>
      <c r="E9" s="15">
        <f t="shared" si="0"/>
        <v>1.28</v>
      </c>
      <c r="F9" s="15">
        <f t="shared" si="1"/>
        <v>1.36</v>
      </c>
      <c r="G9" s="15">
        <f t="shared" si="2"/>
        <v>1</v>
      </c>
      <c r="H9" s="15">
        <f t="shared" si="3"/>
        <v>1</v>
      </c>
      <c r="I9" t="str">
        <f t="shared" si="4"/>
        <v>Uncommon</v>
      </c>
      <c r="J9" s="1" t="s">
        <v>1486</v>
      </c>
      <c r="K9" s="1" t="s">
        <v>1504</v>
      </c>
    </row>
    <row r="10" spans="1:11" ht="33" x14ac:dyDescent="0.3">
      <c r="A10" t="s">
        <v>681</v>
      </c>
      <c r="B10" t="s">
        <v>1196</v>
      </c>
      <c r="C10" t="s">
        <v>1488</v>
      </c>
      <c r="D10" t="s">
        <v>337</v>
      </c>
      <c r="E10" s="15">
        <f t="shared" si="0"/>
        <v>1</v>
      </c>
      <c r="F10" s="15">
        <f t="shared" si="1"/>
        <v>1.1000000000000001</v>
      </c>
      <c r="G10" s="15">
        <f t="shared" si="2"/>
        <v>0</v>
      </c>
      <c r="H10" s="15">
        <f t="shared" si="3"/>
        <v>1</v>
      </c>
      <c r="I10" t="str">
        <f t="shared" si="4"/>
        <v>Common</v>
      </c>
      <c r="J10" s="1" t="s">
        <v>1486</v>
      </c>
      <c r="K10" s="1" t="s">
        <v>684</v>
      </c>
    </row>
    <row r="11" spans="1:11" ht="33" x14ac:dyDescent="0.3">
      <c r="A11" t="s">
        <v>687</v>
      </c>
      <c r="B11" t="s">
        <v>1197</v>
      </c>
      <c r="C11" t="s">
        <v>1483</v>
      </c>
      <c r="D11" t="s">
        <v>169</v>
      </c>
      <c r="E11" s="15">
        <f t="shared" si="0"/>
        <v>1.25</v>
      </c>
      <c r="F11" s="15">
        <f t="shared" si="1"/>
        <v>1.28</v>
      </c>
      <c r="G11" s="15">
        <f t="shared" si="2"/>
        <v>0</v>
      </c>
      <c r="H11" s="15">
        <f t="shared" si="3"/>
        <v>1</v>
      </c>
      <c r="I11" t="str">
        <f t="shared" si="4"/>
        <v>Uncommon</v>
      </c>
      <c r="J11" s="1" t="s">
        <v>1486</v>
      </c>
      <c r="K11" s="1" t="s">
        <v>1507</v>
      </c>
    </row>
    <row r="12" spans="1:11" ht="33" x14ac:dyDescent="0.3">
      <c r="A12" t="s">
        <v>694</v>
      </c>
      <c r="B12" t="s">
        <v>1200</v>
      </c>
      <c r="C12" t="s">
        <v>1509</v>
      </c>
      <c r="D12" t="s">
        <v>1183</v>
      </c>
      <c r="E12" s="15">
        <f t="shared" si="0"/>
        <v>1.18</v>
      </c>
      <c r="F12" s="15">
        <f t="shared" si="1"/>
        <v>1.2200000000000002</v>
      </c>
      <c r="G12" s="15">
        <f t="shared" si="2"/>
        <v>2</v>
      </c>
      <c r="H12" s="15">
        <f t="shared" si="3"/>
        <v>1</v>
      </c>
      <c r="I12" t="str">
        <f t="shared" si="4"/>
        <v>Common</v>
      </c>
      <c r="J12" s="1" t="s">
        <v>1486</v>
      </c>
      <c r="K12" s="1" t="s">
        <v>697</v>
      </c>
    </row>
    <row r="13" spans="1:11" ht="33" x14ac:dyDescent="0.3">
      <c r="A13" t="s">
        <v>699</v>
      </c>
      <c r="B13" t="s">
        <v>1192</v>
      </c>
      <c r="C13" t="s">
        <v>1499</v>
      </c>
      <c r="D13" t="s">
        <v>1203</v>
      </c>
      <c r="E13" s="15">
        <f t="shared" si="0"/>
        <v>1.28</v>
      </c>
      <c r="F13" s="15">
        <f t="shared" si="1"/>
        <v>1.36</v>
      </c>
      <c r="G13" s="15">
        <f t="shared" si="2"/>
        <v>1</v>
      </c>
      <c r="H13" s="15">
        <f t="shared" si="3"/>
        <v>1</v>
      </c>
      <c r="I13" t="str">
        <f t="shared" si="4"/>
        <v>Uncommon</v>
      </c>
      <c r="J13" s="1" t="s">
        <v>1486</v>
      </c>
      <c r="K13" s="1" t="s">
        <v>1515</v>
      </c>
    </row>
    <row r="14" spans="1:11" ht="33" x14ac:dyDescent="0.3">
      <c r="A14" t="s">
        <v>704</v>
      </c>
      <c r="B14" t="s">
        <v>1196</v>
      </c>
      <c r="C14" t="s">
        <v>1488</v>
      </c>
      <c r="D14" t="s">
        <v>1187</v>
      </c>
      <c r="E14" s="15">
        <f t="shared" si="0"/>
        <v>1</v>
      </c>
      <c r="F14" s="15">
        <f t="shared" si="1"/>
        <v>1.1000000000000001</v>
      </c>
      <c r="G14" s="15">
        <f t="shared" si="2"/>
        <v>0</v>
      </c>
      <c r="H14" s="15">
        <f t="shared" si="3"/>
        <v>1</v>
      </c>
      <c r="I14" t="str">
        <f t="shared" si="4"/>
        <v>Common</v>
      </c>
      <c r="J14" s="1" t="s">
        <v>1486</v>
      </c>
      <c r="K14" s="1" t="s">
        <v>1516</v>
      </c>
    </row>
    <row r="15" spans="1:11" ht="33" x14ac:dyDescent="0.3">
      <c r="A15" t="s">
        <v>710</v>
      </c>
      <c r="B15" t="s">
        <v>1517</v>
      </c>
      <c r="C15" t="s">
        <v>1488</v>
      </c>
      <c r="D15" t="s">
        <v>1206</v>
      </c>
      <c r="E15" s="15">
        <f t="shared" si="0"/>
        <v>1.37</v>
      </c>
      <c r="F15" s="15">
        <f t="shared" si="1"/>
        <v>1.3800000000000001</v>
      </c>
      <c r="G15" s="15">
        <f t="shared" si="2"/>
        <v>3</v>
      </c>
      <c r="H15" s="15">
        <f t="shared" si="3"/>
        <v>2</v>
      </c>
      <c r="I15" t="str">
        <f t="shared" si="4"/>
        <v>Uncommon</v>
      </c>
      <c r="J15" s="1" t="s">
        <v>1486</v>
      </c>
      <c r="K15" s="1" t="s">
        <v>1518</v>
      </c>
    </row>
    <row r="16" spans="1:11" ht="33" x14ac:dyDescent="0.3">
      <c r="A16" t="s">
        <v>717</v>
      </c>
      <c r="B16" t="s">
        <v>1208</v>
      </c>
      <c r="C16" t="s">
        <v>1499</v>
      </c>
      <c r="D16" t="s">
        <v>1203</v>
      </c>
      <c r="E16" s="15">
        <f t="shared" si="0"/>
        <v>1.08</v>
      </c>
      <c r="F16" s="15">
        <f t="shared" si="1"/>
        <v>1.1800000000000002</v>
      </c>
      <c r="G16" s="15">
        <f t="shared" si="2"/>
        <v>2</v>
      </c>
      <c r="H16" s="15">
        <f t="shared" si="3"/>
        <v>1</v>
      </c>
      <c r="I16" t="str">
        <f t="shared" si="4"/>
        <v>Common</v>
      </c>
      <c r="J16" s="1" t="s">
        <v>1486</v>
      </c>
      <c r="K16" s="1" t="s">
        <v>720</v>
      </c>
    </row>
    <row r="17" spans="1:11" ht="33" x14ac:dyDescent="0.3">
      <c r="A17" t="s">
        <v>722</v>
      </c>
      <c r="B17" t="s">
        <v>1209</v>
      </c>
      <c r="C17" t="s">
        <v>1488</v>
      </c>
      <c r="D17" t="s">
        <v>169</v>
      </c>
      <c r="E17" s="15">
        <f t="shared" si="0"/>
        <v>1.2</v>
      </c>
      <c r="F17" s="15">
        <f t="shared" si="1"/>
        <v>1.28</v>
      </c>
      <c r="G17" s="15">
        <f t="shared" si="2"/>
        <v>-1</v>
      </c>
      <c r="H17" s="15">
        <f t="shared" si="3"/>
        <v>1</v>
      </c>
      <c r="I17" t="str">
        <f t="shared" si="4"/>
        <v>Common</v>
      </c>
      <c r="J17" s="1" t="s">
        <v>1486</v>
      </c>
      <c r="K17" s="1" t="s">
        <v>1520</v>
      </c>
    </row>
    <row r="18" spans="1:11" ht="33" x14ac:dyDescent="0.3">
      <c r="A18" t="s">
        <v>729</v>
      </c>
      <c r="B18" t="s">
        <v>1212</v>
      </c>
      <c r="C18" t="s">
        <v>1522</v>
      </c>
      <c r="D18" t="s">
        <v>1213</v>
      </c>
      <c r="E18" s="15">
        <f t="shared" si="0"/>
        <v>0.95</v>
      </c>
      <c r="F18" s="15">
        <f t="shared" si="1"/>
        <v>1.1000000000000001</v>
      </c>
      <c r="G18" s="15">
        <f t="shared" si="2"/>
        <v>-1</v>
      </c>
      <c r="H18" s="15">
        <f t="shared" si="3"/>
        <v>1</v>
      </c>
      <c r="I18" t="str">
        <f t="shared" si="4"/>
        <v>Common</v>
      </c>
      <c r="J18" s="1" t="s">
        <v>1486</v>
      </c>
      <c r="K18" s="1" t="s">
        <v>1526</v>
      </c>
    </row>
    <row r="19" spans="1:11" ht="33" x14ac:dyDescent="0.3">
      <c r="A19" t="s">
        <v>734</v>
      </c>
      <c r="B19" t="s">
        <v>1527</v>
      </c>
      <c r="C19" t="s">
        <v>1499</v>
      </c>
      <c r="D19" t="s">
        <v>1216</v>
      </c>
      <c r="E19" s="15">
        <f t="shared" si="0"/>
        <v>1.33</v>
      </c>
      <c r="F19" s="15">
        <f t="shared" si="1"/>
        <v>1.36</v>
      </c>
      <c r="G19" s="15">
        <f t="shared" si="2"/>
        <v>2</v>
      </c>
      <c r="H19" s="15">
        <f t="shared" si="3"/>
        <v>1</v>
      </c>
      <c r="I19" t="str">
        <f t="shared" si="4"/>
        <v>Uncommon</v>
      </c>
      <c r="J19" s="1" t="s">
        <v>1486</v>
      </c>
      <c r="K19" s="1" t="s">
        <v>1529</v>
      </c>
    </row>
    <row r="20" spans="1:11" ht="33" x14ac:dyDescent="0.3">
      <c r="A20" t="s">
        <v>741</v>
      </c>
      <c r="B20" t="s">
        <v>1218</v>
      </c>
      <c r="C20" t="s">
        <v>1522</v>
      </c>
      <c r="D20" t="s">
        <v>1219</v>
      </c>
      <c r="E20" s="15">
        <f t="shared" si="0"/>
        <v>1.07</v>
      </c>
      <c r="F20" s="15">
        <f t="shared" si="1"/>
        <v>1.2000000000000002</v>
      </c>
      <c r="G20" s="15">
        <f t="shared" si="2"/>
        <v>2</v>
      </c>
      <c r="H20" s="15">
        <f t="shared" si="3"/>
        <v>1</v>
      </c>
      <c r="I20" t="str">
        <f t="shared" si="4"/>
        <v>Common</v>
      </c>
      <c r="J20" s="1" t="s">
        <v>1486</v>
      </c>
      <c r="K20" s="1" t="s">
        <v>1532</v>
      </c>
    </row>
    <row r="21" spans="1:11" x14ac:dyDescent="0.3">
      <c r="A21" t="s">
        <v>749</v>
      </c>
      <c r="B21" t="s">
        <v>1221</v>
      </c>
      <c r="C21" t="s">
        <v>1221</v>
      </c>
      <c r="D21" t="s">
        <v>1222</v>
      </c>
      <c r="E21" s="15">
        <f t="shared" si="0"/>
        <v>1</v>
      </c>
      <c r="F21" s="15">
        <f t="shared" si="1"/>
        <v>1</v>
      </c>
      <c r="G21" s="15">
        <f t="shared" si="2"/>
        <v>0</v>
      </c>
      <c r="H21" s="15">
        <f t="shared" si="3"/>
        <v>1</v>
      </c>
      <c r="I21" t="str">
        <f t="shared" si="4"/>
        <v>Common</v>
      </c>
      <c r="J21" s="1" t="s">
        <v>1535</v>
      </c>
      <c r="K21" s="1" t="s">
        <v>752</v>
      </c>
    </row>
    <row r="22" spans="1:11" ht="33" x14ac:dyDescent="0.3">
      <c r="A22" t="s">
        <v>754</v>
      </c>
      <c r="B22" t="s">
        <v>1175</v>
      </c>
      <c r="C22" t="s">
        <v>1488</v>
      </c>
      <c r="D22" t="s">
        <v>1224</v>
      </c>
      <c r="E22" s="15">
        <f t="shared" si="0"/>
        <v>1.25</v>
      </c>
      <c r="F22" s="15">
        <f t="shared" si="1"/>
        <v>1.28</v>
      </c>
      <c r="G22" s="15">
        <f t="shared" si="2"/>
        <v>0</v>
      </c>
      <c r="H22" s="15">
        <f t="shared" si="3"/>
        <v>1</v>
      </c>
      <c r="I22" t="str">
        <f t="shared" si="4"/>
        <v>Uncommon</v>
      </c>
      <c r="J22" s="1" t="s">
        <v>1486</v>
      </c>
      <c r="K22" s="1" t="s">
        <v>757</v>
      </c>
    </row>
    <row r="23" spans="1:11" ht="33" x14ac:dyDescent="0.3">
      <c r="A23" t="s">
        <v>759</v>
      </c>
      <c r="B23" t="s">
        <v>1196</v>
      </c>
      <c r="C23" t="s">
        <v>1488</v>
      </c>
      <c r="D23" t="s">
        <v>337</v>
      </c>
      <c r="E23" s="15">
        <f t="shared" si="0"/>
        <v>1</v>
      </c>
      <c r="F23" s="15">
        <f t="shared" si="1"/>
        <v>1.1000000000000001</v>
      </c>
      <c r="G23" s="15">
        <f t="shared" si="2"/>
        <v>0</v>
      </c>
      <c r="H23" s="15">
        <f t="shared" si="3"/>
        <v>1</v>
      </c>
      <c r="I23" t="str">
        <f t="shared" si="4"/>
        <v>Common</v>
      </c>
      <c r="J23" s="1" t="s">
        <v>1486</v>
      </c>
      <c r="K23" s="1" t="s">
        <v>761</v>
      </c>
    </row>
    <row r="24" spans="1:11" ht="33" x14ac:dyDescent="0.3">
      <c r="A24" t="s">
        <v>763</v>
      </c>
      <c r="B24" t="s">
        <v>1225</v>
      </c>
      <c r="C24" t="s">
        <v>1539</v>
      </c>
      <c r="D24" t="s">
        <v>1226</v>
      </c>
      <c r="E24" s="15">
        <f t="shared" si="0"/>
        <v>1.05</v>
      </c>
      <c r="F24" s="15">
        <f t="shared" si="1"/>
        <v>1.2000000000000002</v>
      </c>
      <c r="G24" s="15">
        <f t="shared" si="2"/>
        <v>3</v>
      </c>
      <c r="H24" s="15">
        <f t="shared" si="3"/>
        <v>1</v>
      </c>
      <c r="I24" t="str">
        <f t="shared" si="4"/>
        <v>Common</v>
      </c>
      <c r="J24" s="1" t="s">
        <v>1486</v>
      </c>
      <c r="K24" s="1" t="s">
        <v>1544</v>
      </c>
    </row>
    <row r="25" spans="1:11" ht="33" x14ac:dyDescent="0.3">
      <c r="A25" t="s">
        <v>770</v>
      </c>
      <c r="B25" t="s">
        <v>1225</v>
      </c>
      <c r="C25" t="s">
        <v>1539</v>
      </c>
      <c r="D25" t="s">
        <v>1229</v>
      </c>
      <c r="E25" s="15">
        <f t="shared" si="0"/>
        <v>1.05</v>
      </c>
      <c r="F25" s="15">
        <f t="shared" si="1"/>
        <v>1.2000000000000002</v>
      </c>
      <c r="G25" s="15">
        <f t="shared" si="2"/>
        <v>3</v>
      </c>
      <c r="H25" s="15">
        <f t="shared" si="3"/>
        <v>1</v>
      </c>
      <c r="I25" t="str">
        <f t="shared" si="4"/>
        <v>Common</v>
      </c>
      <c r="J25" s="1" t="s">
        <v>1486</v>
      </c>
      <c r="K25" s="1" t="s">
        <v>1546</v>
      </c>
    </row>
    <row r="26" spans="1:11" ht="33" x14ac:dyDescent="0.3">
      <c r="A26" t="s">
        <v>777</v>
      </c>
      <c r="B26" t="s">
        <v>1186</v>
      </c>
      <c r="C26" t="s">
        <v>1493</v>
      </c>
      <c r="D26" t="s">
        <v>1230</v>
      </c>
      <c r="E26" s="15">
        <f t="shared" si="0"/>
        <v>1.37</v>
      </c>
      <c r="F26" s="15">
        <f t="shared" si="1"/>
        <v>1.3800000000000001</v>
      </c>
      <c r="G26" s="15">
        <f t="shared" si="2"/>
        <v>3</v>
      </c>
      <c r="H26" s="15">
        <f t="shared" si="3"/>
        <v>2</v>
      </c>
      <c r="I26" t="str">
        <f t="shared" si="4"/>
        <v>Uncommon</v>
      </c>
      <c r="J26" s="1" t="s">
        <v>1486</v>
      </c>
      <c r="K26" s="1" t="s">
        <v>1547</v>
      </c>
    </row>
    <row r="27" spans="1:11" ht="33" x14ac:dyDescent="0.3">
      <c r="A27" t="s">
        <v>782</v>
      </c>
      <c r="B27" t="s">
        <v>1200</v>
      </c>
      <c r="C27" t="s">
        <v>1509</v>
      </c>
      <c r="D27" t="s">
        <v>1224</v>
      </c>
      <c r="E27" s="15">
        <f t="shared" si="0"/>
        <v>1.18</v>
      </c>
      <c r="F27" s="15">
        <f t="shared" si="1"/>
        <v>1.2200000000000002</v>
      </c>
      <c r="G27" s="15">
        <f t="shared" si="2"/>
        <v>2</v>
      </c>
      <c r="H27" s="15">
        <f t="shared" si="3"/>
        <v>1</v>
      </c>
      <c r="I27" t="str">
        <f t="shared" si="4"/>
        <v>Common</v>
      </c>
      <c r="J27" s="1" t="s">
        <v>1486</v>
      </c>
      <c r="K27" s="1" t="s">
        <v>784</v>
      </c>
    </row>
    <row r="28" spans="1:11" ht="33" x14ac:dyDescent="0.3">
      <c r="A28" t="s">
        <v>786</v>
      </c>
      <c r="B28" t="s">
        <v>1208</v>
      </c>
      <c r="C28" t="s">
        <v>1499</v>
      </c>
      <c r="D28" t="s">
        <v>1222</v>
      </c>
      <c r="E28" s="15">
        <f t="shared" si="0"/>
        <v>1.08</v>
      </c>
      <c r="F28" s="15">
        <f t="shared" si="1"/>
        <v>1.1800000000000002</v>
      </c>
      <c r="G28" s="15">
        <f t="shared" si="2"/>
        <v>2</v>
      </c>
      <c r="H28" s="15">
        <f t="shared" si="3"/>
        <v>1</v>
      </c>
      <c r="I28" t="str">
        <f t="shared" si="4"/>
        <v>Common</v>
      </c>
      <c r="J28" s="1" t="s">
        <v>1486</v>
      </c>
      <c r="K28" s="1" t="s">
        <v>1550</v>
      </c>
    </row>
    <row r="29" spans="1:11" ht="33" x14ac:dyDescent="0.3">
      <c r="A29" t="s">
        <v>791</v>
      </c>
      <c r="B29" t="s">
        <v>1175</v>
      </c>
      <c r="C29" t="s">
        <v>1488</v>
      </c>
      <c r="D29" t="s">
        <v>1222</v>
      </c>
      <c r="E29" s="15">
        <f t="shared" si="0"/>
        <v>1.25</v>
      </c>
      <c r="F29" s="15">
        <f t="shared" si="1"/>
        <v>1.28</v>
      </c>
      <c r="G29" s="15">
        <f t="shared" si="2"/>
        <v>0</v>
      </c>
      <c r="H29" s="15">
        <f t="shared" si="3"/>
        <v>1</v>
      </c>
      <c r="I29" t="str">
        <f t="shared" si="4"/>
        <v>Uncommon</v>
      </c>
      <c r="J29" s="1" t="s">
        <v>1486</v>
      </c>
      <c r="K29" s="1" t="s">
        <v>794</v>
      </c>
    </row>
    <row r="30" spans="1:11" ht="33" x14ac:dyDescent="0.3">
      <c r="A30" t="s">
        <v>796</v>
      </c>
      <c r="B30" t="s">
        <v>1233</v>
      </c>
      <c r="C30" t="s">
        <v>1488</v>
      </c>
      <c r="D30" t="s">
        <v>1222</v>
      </c>
      <c r="E30" s="15">
        <f t="shared" si="0"/>
        <v>1.2</v>
      </c>
      <c r="F30" s="15">
        <f t="shared" si="1"/>
        <v>1.28</v>
      </c>
      <c r="G30" s="15">
        <f t="shared" si="2"/>
        <v>-1</v>
      </c>
      <c r="H30" s="15">
        <f t="shared" si="3"/>
        <v>1</v>
      </c>
      <c r="I30" t="str">
        <f t="shared" si="4"/>
        <v>Common</v>
      </c>
      <c r="J30" s="1" t="s">
        <v>1486</v>
      </c>
      <c r="K30" s="1" t="s">
        <v>1553</v>
      </c>
    </row>
    <row r="31" spans="1:11" ht="33" x14ac:dyDescent="0.3">
      <c r="A31" t="s">
        <v>800</v>
      </c>
      <c r="B31" t="s">
        <v>1234</v>
      </c>
      <c r="C31" t="s">
        <v>1488</v>
      </c>
      <c r="D31" t="s">
        <v>337</v>
      </c>
      <c r="E31" s="15">
        <f t="shared" si="0"/>
        <v>1</v>
      </c>
      <c r="F31" s="15">
        <f t="shared" si="1"/>
        <v>1.1000000000000001</v>
      </c>
      <c r="G31" s="15">
        <f t="shared" si="2"/>
        <v>0</v>
      </c>
      <c r="H31" s="15">
        <f t="shared" si="3"/>
        <v>1</v>
      </c>
      <c r="I31" t="str">
        <f t="shared" si="4"/>
        <v>Common</v>
      </c>
      <c r="J31" s="1" t="s">
        <v>1486</v>
      </c>
      <c r="K31" s="1" t="s">
        <v>802</v>
      </c>
    </row>
    <row r="32" spans="1:11" ht="33" x14ac:dyDescent="0.3">
      <c r="A32" t="s">
        <v>804</v>
      </c>
      <c r="B32" t="s">
        <v>1235</v>
      </c>
      <c r="C32" t="s">
        <v>1539</v>
      </c>
      <c r="D32" t="s">
        <v>298</v>
      </c>
      <c r="E32" s="15">
        <f t="shared" si="0"/>
        <v>1.1000000000000001</v>
      </c>
      <c r="F32" s="15">
        <f t="shared" si="1"/>
        <v>1.2000000000000002</v>
      </c>
      <c r="G32" s="15">
        <f t="shared" si="2"/>
        <v>4</v>
      </c>
      <c r="H32" s="15">
        <f t="shared" si="3"/>
        <v>1</v>
      </c>
      <c r="I32" t="str">
        <f t="shared" si="4"/>
        <v>Common</v>
      </c>
      <c r="J32" s="1" t="s">
        <v>1486</v>
      </c>
      <c r="K32" s="1" t="s">
        <v>1554</v>
      </c>
    </row>
    <row r="33" spans="1:11" ht="33" x14ac:dyDescent="0.3">
      <c r="A33" t="s">
        <v>810</v>
      </c>
      <c r="B33" t="s">
        <v>1236</v>
      </c>
      <c r="C33" t="s">
        <v>1539</v>
      </c>
      <c r="D33" t="s">
        <v>298</v>
      </c>
      <c r="E33" s="15">
        <f t="shared" si="0"/>
        <v>1.1000000000000001</v>
      </c>
      <c r="F33" s="15">
        <f t="shared" si="1"/>
        <v>1.2000000000000002</v>
      </c>
      <c r="G33" s="15">
        <f t="shared" si="2"/>
        <v>4</v>
      </c>
      <c r="H33" s="15">
        <f t="shared" si="3"/>
        <v>1</v>
      </c>
      <c r="I33" t="str">
        <f t="shared" si="4"/>
        <v>Common</v>
      </c>
      <c r="J33" s="1" t="s">
        <v>1486</v>
      </c>
      <c r="K33" s="1" t="s">
        <v>1555</v>
      </c>
    </row>
    <row r="34" spans="1:11" ht="33" x14ac:dyDescent="0.3">
      <c r="A34" t="s">
        <v>814</v>
      </c>
      <c r="B34" t="s">
        <v>1225</v>
      </c>
      <c r="C34" t="s">
        <v>1539</v>
      </c>
      <c r="D34" t="s">
        <v>1237</v>
      </c>
      <c r="E34" s="15">
        <f t="shared" si="0"/>
        <v>1.05</v>
      </c>
      <c r="F34" s="15">
        <f t="shared" si="1"/>
        <v>1.2000000000000002</v>
      </c>
      <c r="G34" s="15">
        <f t="shared" si="2"/>
        <v>3</v>
      </c>
      <c r="H34" s="15">
        <f t="shared" si="3"/>
        <v>1</v>
      </c>
      <c r="I34" t="str">
        <f t="shared" si="4"/>
        <v>Common</v>
      </c>
      <c r="J34" s="1" t="s">
        <v>1486</v>
      </c>
      <c r="K34" s="1" t="s">
        <v>1557</v>
      </c>
    </row>
    <row r="35" spans="1:11" ht="33" x14ac:dyDescent="0.3">
      <c r="A35" t="s">
        <v>817</v>
      </c>
      <c r="B35" t="s">
        <v>1225</v>
      </c>
      <c r="C35" t="s">
        <v>1539</v>
      </c>
      <c r="D35" t="s">
        <v>1237</v>
      </c>
      <c r="E35" s="15">
        <f t="shared" si="0"/>
        <v>1.05</v>
      </c>
      <c r="F35" s="15">
        <f t="shared" si="1"/>
        <v>1.2000000000000002</v>
      </c>
      <c r="G35" s="15">
        <f t="shared" si="2"/>
        <v>3</v>
      </c>
      <c r="H35" s="15">
        <f t="shared" si="3"/>
        <v>1</v>
      </c>
      <c r="I35" t="str">
        <f t="shared" si="4"/>
        <v>Common</v>
      </c>
      <c r="J35" s="1" t="s">
        <v>1486</v>
      </c>
      <c r="K35" s="1" t="s">
        <v>1558</v>
      </c>
    </row>
    <row r="36" spans="1:11" ht="33" x14ac:dyDescent="0.3">
      <c r="A36" t="s">
        <v>823</v>
      </c>
      <c r="B36" t="s">
        <v>1238</v>
      </c>
      <c r="C36" t="s">
        <v>1499</v>
      </c>
      <c r="D36" t="s">
        <v>1224</v>
      </c>
      <c r="E36" s="15">
        <f t="shared" ref="E36:E70" si="5">MAX(0.7,1+IF(ISNUMBER(SEARCH("Damage Multiplier",B36)),0.25,0)+IF(ISNUMBER(SEARCH("Penetration",B36)),0.18,0)+IF(ISNUMBER(SEARCH("Ailment",B36)),0.12,0)+IF(ISNUMBER(SEARCH("Duration",B36)),0.08,0)+IF(ISNUMBER(SEARCH("Projectile",B36)),0.1,0)+IF(ISNUMBER(SEARCH("Restriction",B36)),-0.05,0))</f>
        <v>1.4500000000000002</v>
      </c>
      <c r="F36" s="15">
        <f t="shared" ref="F36:F70" si="6">1+IF(ISNUMBER(SEARCH("Damage Multiplier",B36)),0.18,0)+IF(ISNUMBER(SEARCH("Penetration",B36)),0.12,0)+IF(ISNUMBER(SEARCH("Ailment",B36)),0.1,0)+IF(ISNUMBER(SEARCH("Duration",B36)),0.08,0)+IF(ISNUMBER(SEARCH("Projectile",B36)),0.1,0)+IF(ISNUMBER(SEARCH("Resource",B36)),0.1,0)</f>
        <v>1.4600000000000002</v>
      </c>
      <c r="G36" s="15">
        <f t="shared" ref="G36:G70" si="7">IF(ISNUMBER(SEARCH("Chain",B36)),5,0)+IF(ISNUMBER(SEARCH("Ailment",B36)),3,0)+IF(ISNUMBER(SEARCH("Duration",B36)),2,0)+IF(ISNUMBER(SEARCH("Penetration",B36)),2,0)+IF(ISNUMBER(SEARCH("Projectile",B36)),4,0)+IF(ISNUMBER(SEARCH("Restriction",B36)),-1,0)</f>
        <v>5</v>
      </c>
      <c r="H36" s="15">
        <f t="shared" ref="H36:H70" si="8">IF(E36&gt;=1.35,2,1)</f>
        <v>2</v>
      </c>
      <c r="I36" t="str">
        <f t="shared" ref="I36:I70" si="9">IF(E36&gt;=1.45,"Rare",IF(E36&gt;=1.25,"Uncommon","Common"))</f>
        <v>Rare</v>
      </c>
      <c r="J36" s="1" t="s">
        <v>1486</v>
      </c>
      <c r="K36" s="1" t="s">
        <v>1560</v>
      </c>
    </row>
    <row r="37" spans="1:11" ht="33" x14ac:dyDescent="0.3">
      <c r="A37" t="s">
        <v>827</v>
      </c>
      <c r="B37" t="s">
        <v>1196</v>
      </c>
      <c r="C37" t="s">
        <v>1488</v>
      </c>
      <c r="D37" t="s">
        <v>1187</v>
      </c>
      <c r="E37" s="15">
        <f t="shared" si="5"/>
        <v>1</v>
      </c>
      <c r="F37" s="15">
        <f t="shared" si="6"/>
        <v>1.1000000000000001</v>
      </c>
      <c r="G37" s="15">
        <f t="shared" si="7"/>
        <v>0</v>
      </c>
      <c r="H37" s="15">
        <f t="shared" si="8"/>
        <v>1</v>
      </c>
      <c r="I37" t="str">
        <f t="shared" si="9"/>
        <v>Common</v>
      </c>
      <c r="J37" s="1" t="s">
        <v>1486</v>
      </c>
      <c r="K37" s="1" t="s">
        <v>1561</v>
      </c>
    </row>
    <row r="38" spans="1:11" ht="33" x14ac:dyDescent="0.3">
      <c r="A38" t="s">
        <v>832</v>
      </c>
      <c r="B38" t="s">
        <v>1239</v>
      </c>
      <c r="C38" t="s">
        <v>1499</v>
      </c>
      <c r="D38" t="s">
        <v>1240</v>
      </c>
      <c r="E38" s="15">
        <f t="shared" si="5"/>
        <v>1.03</v>
      </c>
      <c r="F38" s="15">
        <f t="shared" si="6"/>
        <v>1.1800000000000002</v>
      </c>
      <c r="G38" s="15">
        <f t="shared" si="7"/>
        <v>1</v>
      </c>
      <c r="H38" s="15">
        <f t="shared" si="8"/>
        <v>1</v>
      </c>
      <c r="I38" t="str">
        <f t="shared" si="9"/>
        <v>Common</v>
      </c>
      <c r="J38" s="1" t="s">
        <v>1486</v>
      </c>
      <c r="K38" s="1" t="s">
        <v>836</v>
      </c>
    </row>
    <row r="39" spans="1:11" ht="33" x14ac:dyDescent="0.3">
      <c r="A39" t="s">
        <v>838</v>
      </c>
      <c r="B39" t="s">
        <v>1225</v>
      </c>
      <c r="C39" t="s">
        <v>1539</v>
      </c>
      <c r="D39" t="s">
        <v>1237</v>
      </c>
      <c r="E39" s="15">
        <f t="shared" si="5"/>
        <v>1.05</v>
      </c>
      <c r="F39" s="15">
        <f t="shared" si="6"/>
        <v>1.2000000000000002</v>
      </c>
      <c r="G39" s="15">
        <f t="shared" si="7"/>
        <v>3</v>
      </c>
      <c r="H39" s="15">
        <f t="shared" si="8"/>
        <v>1</v>
      </c>
      <c r="I39" t="str">
        <f t="shared" si="9"/>
        <v>Common</v>
      </c>
      <c r="J39" s="1" t="s">
        <v>1486</v>
      </c>
      <c r="K39" s="1" t="s">
        <v>1564</v>
      </c>
    </row>
    <row r="40" spans="1:11" ht="33" x14ac:dyDescent="0.3">
      <c r="A40" t="s">
        <v>842</v>
      </c>
      <c r="B40" t="s">
        <v>1236</v>
      </c>
      <c r="C40" t="s">
        <v>1539</v>
      </c>
      <c r="D40" t="s">
        <v>298</v>
      </c>
      <c r="E40" s="15">
        <f t="shared" si="5"/>
        <v>1.1000000000000001</v>
      </c>
      <c r="F40" s="15">
        <f t="shared" si="6"/>
        <v>1.2000000000000002</v>
      </c>
      <c r="G40" s="15">
        <f t="shared" si="7"/>
        <v>4</v>
      </c>
      <c r="H40" s="15">
        <f t="shared" si="8"/>
        <v>1</v>
      </c>
      <c r="I40" t="str">
        <f t="shared" si="9"/>
        <v>Common</v>
      </c>
      <c r="J40" s="1" t="s">
        <v>1486</v>
      </c>
      <c r="K40" s="1" t="s">
        <v>1565</v>
      </c>
    </row>
    <row r="41" spans="1:11" ht="33" x14ac:dyDescent="0.3">
      <c r="A41" t="s">
        <v>846</v>
      </c>
      <c r="B41" t="s">
        <v>1225</v>
      </c>
      <c r="C41" t="s">
        <v>1539</v>
      </c>
      <c r="D41" t="s">
        <v>1229</v>
      </c>
      <c r="E41" s="15">
        <f t="shared" si="5"/>
        <v>1.05</v>
      </c>
      <c r="F41" s="15">
        <f t="shared" si="6"/>
        <v>1.2000000000000002</v>
      </c>
      <c r="G41" s="15">
        <f t="shared" si="7"/>
        <v>3</v>
      </c>
      <c r="H41" s="15">
        <f t="shared" si="8"/>
        <v>1</v>
      </c>
      <c r="I41" t="str">
        <f t="shared" si="9"/>
        <v>Common</v>
      </c>
      <c r="J41" s="1" t="s">
        <v>1486</v>
      </c>
      <c r="K41" s="1" t="s">
        <v>1566</v>
      </c>
    </row>
    <row r="42" spans="1:11" ht="33" x14ac:dyDescent="0.3">
      <c r="A42" t="s">
        <v>850</v>
      </c>
      <c r="B42" t="s">
        <v>1567</v>
      </c>
      <c r="C42" t="s">
        <v>1539</v>
      </c>
      <c r="D42" t="s">
        <v>298</v>
      </c>
      <c r="E42" s="15">
        <f t="shared" si="5"/>
        <v>1.05</v>
      </c>
      <c r="F42" s="15">
        <f t="shared" si="6"/>
        <v>1.2000000000000002</v>
      </c>
      <c r="G42" s="15">
        <f t="shared" si="7"/>
        <v>3</v>
      </c>
      <c r="H42" s="15">
        <f t="shared" si="8"/>
        <v>1</v>
      </c>
      <c r="I42" t="str">
        <f t="shared" si="9"/>
        <v>Common</v>
      </c>
      <c r="J42" s="1" t="s">
        <v>1486</v>
      </c>
      <c r="K42" s="1" t="s">
        <v>1568</v>
      </c>
    </row>
    <row r="43" spans="1:11" ht="33" x14ac:dyDescent="0.3">
      <c r="A43" t="s">
        <v>854</v>
      </c>
      <c r="B43" t="s">
        <v>1192</v>
      </c>
      <c r="C43" t="s">
        <v>1499</v>
      </c>
      <c r="D43" t="s">
        <v>1203</v>
      </c>
      <c r="E43" s="15">
        <f t="shared" si="5"/>
        <v>1.28</v>
      </c>
      <c r="F43" s="15">
        <f t="shared" si="6"/>
        <v>1.36</v>
      </c>
      <c r="G43" s="15">
        <f t="shared" si="7"/>
        <v>1</v>
      </c>
      <c r="H43" s="15">
        <f t="shared" si="8"/>
        <v>1</v>
      </c>
      <c r="I43" t="str">
        <f t="shared" si="9"/>
        <v>Uncommon</v>
      </c>
      <c r="J43" s="1" t="s">
        <v>1486</v>
      </c>
      <c r="K43" s="1" t="s">
        <v>857</v>
      </c>
    </row>
    <row r="44" spans="1:11" ht="33" x14ac:dyDescent="0.3">
      <c r="A44" t="s">
        <v>859</v>
      </c>
      <c r="B44" t="s">
        <v>1570</v>
      </c>
      <c r="C44" t="s">
        <v>1539</v>
      </c>
      <c r="D44" t="s">
        <v>1244</v>
      </c>
      <c r="E44" s="15">
        <f t="shared" si="5"/>
        <v>1.1800000000000002</v>
      </c>
      <c r="F44" s="15">
        <f t="shared" si="6"/>
        <v>1.2800000000000002</v>
      </c>
      <c r="G44" s="15">
        <f t="shared" si="7"/>
        <v>6</v>
      </c>
      <c r="H44" s="15">
        <f t="shared" si="8"/>
        <v>1</v>
      </c>
      <c r="I44" t="str">
        <f t="shared" si="9"/>
        <v>Common</v>
      </c>
      <c r="J44" s="1" t="s">
        <v>1486</v>
      </c>
      <c r="K44" s="1" t="s">
        <v>1571</v>
      </c>
    </row>
    <row r="45" spans="1:11" ht="33" x14ac:dyDescent="0.3">
      <c r="A45" t="s">
        <v>865</v>
      </c>
      <c r="B45" t="s">
        <v>1186</v>
      </c>
      <c r="C45" t="s">
        <v>1493</v>
      </c>
      <c r="D45" t="s">
        <v>1222</v>
      </c>
      <c r="E45" s="15">
        <f t="shared" si="5"/>
        <v>1.37</v>
      </c>
      <c r="F45" s="15">
        <f t="shared" si="6"/>
        <v>1.3800000000000001</v>
      </c>
      <c r="G45" s="15">
        <f t="shared" si="7"/>
        <v>3</v>
      </c>
      <c r="H45" s="15">
        <f t="shared" si="8"/>
        <v>2</v>
      </c>
      <c r="I45" t="str">
        <f t="shared" si="9"/>
        <v>Uncommon</v>
      </c>
      <c r="J45" s="1" t="s">
        <v>1486</v>
      </c>
      <c r="K45" s="1" t="s">
        <v>1572</v>
      </c>
    </row>
    <row r="46" spans="1:11" ht="33" x14ac:dyDescent="0.3">
      <c r="A46" t="s">
        <v>868</v>
      </c>
      <c r="B46" t="s">
        <v>1179</v>
      </c>
      <c r="C46" t="s">
        <v>1488</v>
      </c>
      <c r="D46" t="s">
        <v>336</v>
      </c>
      <c r="E46" s="15">
        <f t="shared" si="5"/>
        <v>0.95</v>
      </c>
      <c r="F46" s="15">
        <f t="shared" si="6"/>
        <v>1.1000000000000001</v>
      </c>
      <c r="G46" s="15">
        <f t="shared" si="7"/>
        <v>-1</v>
      </c>
      <c r="H46" s="15">
        <f t="shared" si="8"/>
        <v>1</v>
      </c>
      <c r="I46" t="str">
        <f t="shared" si="9"/>
        <v>Common</v>
      </c>
      <c r="J46" s="1" t="s">
        <v>1486</v>
      </c>
      <c r="K46" s="1" t="s">
        <v>1573</v>
      </c>
    </row>
    <row r="47" spans="1:11" ht="33" x14ac:dyDescent="0.3">
      <c r="A47" t="s">
        <v>872</v>
      </c>
      <c r="B47" t="s">
        <v>1225</v>
      </c>
      <c r="C47" t="s">
        <v>1539</v>
      </c>
      <c r="D47" t="s">
        <v>1237</v>
      </c>
      <c r="E47" s="15">
        <f t="shared" si="5"/>
        <v>1.05</v>
      </c>
      <c r="F47" s="15">
        <f t="shared" si="6"/>
        <v>1.2000000000000002</v>
      </c>
      <c r="G47" s="15">
        <f t="shared" si="7"/>
        <v>3</v>
      </c>
      <c r="H47" s="15">
        <f t="shared" si="8"/>
        <v>1</v>
      </c>
      <c r="I47" t="str">
        <f t="shared" si="9"/>
        <v>Common</v>
      </c>
      <c r="J47" s="1" t="s">
        <v>1486</v>
      </c>
      <c r="K47" s="1" t="s">
        <v>1574</v>
      </c>
    </row>
    <row r="48" spans="1:11" ht="33" x14ac:dyDescent="0.3">
      <c r="A48" t="s">
        <v>876</v>
      </c>
      <c r="B48" t="s">
        <v>1175</v>
      </c>
      <c r="C48" t="s">
        <v>1488</v>
      </c>
      <c r="D48" t="s">
        <v>1230</v>
      </c>
      <c r="E48" s="15">
        <f t="shared" si="5"/>
        <v>1.25</v>
      </c>
      <c r="F48" s="15">
        <f t="shared" si="6"/>
        <v>1.28</v>
      </c>
      <c r="G48" s="15">
        <f t="shared" si="7"/>
        <v>0</v>
      </c>
      <c r="H48" s="15">
        <f t="shared" si="8"/>
        <v>1</v>
      </c>
      <c r="I48" t="str">
        <f t="shared" si="9"/>
        <v>Uncommon</v>
      </c>
      <c r="J48" s="1" t="s">
        <v>1486</v>
      </c>
      <c r="K48" s="1" t="s">
        <v>878</v>
      </c>
    </row>
    <row r="49" spans="1:11" ht="33" x14ac:dyDescent="0.3">
      <c r="A49" t="s">
        <v>880</v>
      </c>
      <c r="B49" t="s">
        <v>1175</v>
      </c>
      <c r="C49" t="s">
        <v>1488</v>
      </c>
      <c r="D49" t="s">
        <v>1246</v>
      </c>
      <c r="E49" s="15">
        <f t="shared" si="5"/>
        <v>1.25</v>
      </c>
      <c r="F49" s="15">
        <f t="shared" si="6"/>
        <v>1.28</v>
      </c>
      <c r="G49" s="15">
        <f t="shared" si="7"/>
        <v>0</v>
      </c>
      <c r="H49" s="15">
        <f t="shared" si="8"/>
        <v>1</v>
      </c>
      <c r="I49" t="str">
        <f t="shared" si="9"/>
        <v>Uncommon</v>
      </c>
      <c r="J49" s="1" t="s">
        <v>1486</v>
      </c>
      <c r="K49" s="1" t="s">
        <v>883</v>
      </c>
    </row>
    <row r="50" spans="1:11" ht="33" x14ac:dyDescent="0.3">
      <c r="A50" t="s">
        <v>885</v>
      </c>
      <c r="B50" t="s">
        <v>1182</v>
      </c>
      <c r="C50" t="s">
        <v>1522</v>
      </c>
      <c r="D50" t="s">
        <v>396</v>
      </c>
      <c r="E50" s="15">
        <f t="shared" si="5"/>
        <v>1.1200000000000001</v>
      </c>
      <c r="F50" s="15">
        <f t="shared" si="6"/>
        <v>1.2000000000000002</v>
      </c>
      <c r="G50" s="15">
        <f t="shared" si="7"/>
        <v>3</v>
      </c>
      <c r="H50" s="15">
        <f t="shared" si="8"/>
        <v>1</v>
      </c>
      <c r="I50" t="str">
        <f t="shared" si="9"/>
        <v>Common</v>
      </c>
      <c r="J50" s="1" t="s">
        <v>1486</v>
      </c>
      <c r="K50" s="1" t="s">
        <v>1575</v>
      </c>
    </row>
    <row r="51" spans="1:11" ht="33" x14ac:dyDescent="0.3">
      <c r="A51" t="s">
        <v>890</v>
      </c>
      <c r="B51" t="s">
        <v>1247</v>
      </c>
      <c r="C51" t="s">
        <v>1509</v>
      </c>
      <c r="D51" t="s">
        <v>1183</v>
      </c>
      <c r="E51" s="15">
        <f t="shared" si="5"/>
        <v>1.2999999999999998</v>
      </c>
      <c r="F51" s="15">
        <f t="shared" si="6"/>
        <v>1.3200000000000003</v>
      </c>
      <c r="G51" s="15">
        <f t="shared" si="7"/>
        <v>5</v>
      </c>
      <c r="H51" s="15">
        <f t="shared" si="8"/>
        <v>1</v>
      </c>
      <c r="I51" t="str">
        <f t="shared" si="9"/>
        <v>Uncommon</v>
      </c>
      <c r="J51" s="1" t="s">
        <v>1486</v>
      </c>
      <c r="K51" s="1" t="s">
        <v>1577</v>
      </c>
    </row>
    <row r="52" spans="1:11" ht="33" x14ac:dyDescent="0.3">
      <c r="A52" t="s">
        <v>893</v>
      </c>
      <c r="B52" t="s">
        <v>1248</v>
      </c>
      <c r="C52" t="s">
        <v>1522</v>
      </c>
      <c r="D52" t="s">
        <v>236</v>
      </c>
      <c r="E52" s="15">
        <f t="shared" si="5"/>
        <v>0.95</v>
      </c>
      <c r="F52" s="15">
        <f t="shared" si="6"/>
        <v>1.1000000000000001</v>
      </c>
      <c r="G52" s="15">
        <f t="shared" si="7"/>
        <v>-1</v>
      </c>
      <c r="H52" s="15">
        <f t="shared" si="8"/>
        <v>1</v>
      </c>
      <c r="I52" t="str">
        <f t="shared" si="9"/>
        <v>Common</v>
      </c>
      <c r="J52" s="1" t="s">
        <v>1486</v>
      </c>
      <c r="K52" s="1" t="s">
        <v>1578</v>
      </c>
    </row>
    <row r="53" spans="1:11" ht="33" x14ac:dyDescent="0.3">
      <c r="A53" t="s">
        <v>898</v>
      </c>
      <c r="B53" t="s">
        <v>1179</v>
      </c>
      <c r="C53" t="s">
        <v>1488</v>
      </c>
      <c r="D53" t="s">
        <v>1249</v>
      </c>
      <c r="E53" s="15">
        <f t="shared" si="5"/>
        <v>0.95</v>
      </c>
      <c r="F53" s="15">
        <f t="shared" si="6"/>
        <v>1.1000000000000001</v>
      </c>
      <c r="G53" s="15">
        <f t="shared" si="7"/>
        <v>-1</v>
      </c>
      <c r="H53" s="15">
        <f t="shared" si="8"/>
        <v>1</v>
      </c>
      <c r="I53" t="str">
        <f t="shared" si="9"/>
        <v>Common</v>
      </c>
      <c r="J53" s="1" t="s">
        <v>1486</v>
      </c>
      <c r="K53" s="1" t="s">
        <v>1580</v>
      </c>
    </row>
    <row r="54" spans="1:11" ht="33" x14ac:dyDescent="0.3">
      <c r="A54" t="s">
        <v>903</v>
      </c>
      <c r="B54" t="s">
        <v>1251</v>
      </c>
      <c r="C54" t="s">
        <v>1499</v>
      </c>
      <c r="D54" t="s">
        <v>1203</v>
      </c>
      <c r="E54" s="15">
        <f t="shared" si="5"/>
        <v>1.33</v>
      </c>
      <c r="F54" s="15">
        <f t="shared" si="6"/>
        <v>1.36</v>
      </c>
      <c r="G54" s="15">
        <f t="shared" si="7"/>
        <v>2</v>
      </c>
      <c r="H54" s="15">
        <f t="shared" si="8"/>
        <v>1</v>
      </c>
      <c r="I54" t="str">
        <f t="shared" si="9"/>
        <v>Uncommon</v>
      </c>
      <c r="J54" s="1" t="s">
        <v>1486</v>
      </c>
      <c r="K54" s="1" t="s">
        <v>1581</v>
      </c>
    </row>
    <row r="55" spans="1:11" ht="33" x14ac:dyDescent="0.3">
      <c r="A55" t="s">
        <v>907</v>
      </c>
      <c r="B55" t="s">
        <v>1179</v>
      </c>
      <c r="C55" t="s">
        <v>1488</v>
      </c>
      <c r="D55" t="s">
        <v>1252</v>
      </c>
      <c r="E55" s="15">
        <f t="shared" si="5"/>
        <v>0.95</v>
      </c>
      <c r="F55" s="15">
        <f t="shared" si="6"/>
        <v>1.1000000000000001</v>
      </c>
      <c r="G55" s="15">
        <f t="shared" si="7"/>
        <v>-1</v>
      </c>
      <c r="H55" s="15">
        <f t="shared" si="8"/>
        <v>1</v>
      </c>
      <c r="I55" t="str">
        <f t="shared" si="9"/>
        <v>Common</v>
      </c>
      <c r="J55" s="1" t="s">
        <v>1486</v>
      </c>
      <c r="K55" s="1" t="s">
        <v>1583</v>
      </c>
    </row>
    <row r="56" spans="1:11" ht="33" x14ac:dyDescent="0.3">
      <c r="A56" t="s">
        <v>911</v>
      </c>
      <c r="B56" t="s">
        <v>1254</v>
      </c>
      <c r="C56" t="s">
        <v>1522</v>
      </c>
      <c r="D56" t="s">
        <v>1255</v>
      </c>
      <c r="E56" s="15">
        <f t="shared" si="5"/>
        <v>1.2000000000000002</v>
      </c>
      <c r="F56" s="15">
        <f t="shared" si="6"/>
        <v>1.2800000000000002</v>
      </c>
      <c r="G56" s="15">
        <f t="shared" si="7"/>
        <v>5</v>
      </c>
      <c r="H56" s="15">
        <f t="shared" si="8"/>
        <v>1</v>
      </c>
      <c r="I56" t="str">
        <f t="shared" si="9"/>
        <v>Common</v>
      </c>
      <c r="J56" s="1" t="s">
        <v>1486</v>
      </c>
      <c r="K56" s="1" t="s">
        <v>1585</v>
      </c>
    </row>
    <row r="57" spans="1:11" ht="33" x14ac:dyDescent="0.3">
      <c r="A57" t="s">
        <v>919</v>
      </c>
      <c r="B57" t="s">
        <v>1234</v>
      </c>
      <c r="C57" t="s">
        <v>1488</v>
      </c>
      <c r="D57" t="s">
        <v>155</v>
      </c>
      <c r="E57" s="15">
        <f t="shared" si="5"/>
        <v>1</v>
      </c>
      <c r="F57" s="15">
        <f t="shared" si="6"/>
        <v>1.1000000000000001</v>
      </c>
      <c r="G57" s="15">
        <f t="shared" si="7"/>
        <v>0</v>
      </c>
      <c r="H57" s="15">
        <f t="shared" si="8"/>
        <v>1</v>
      </c>
      <c r="I57" t="str">
        <f t="shared" si="9"/>
        <v>Common</v>
      </c>
      <c r="J57" s="1" t="s">
        <v>1486</v>
      </c>
      <c r="K57" s="1" t="s">
        <v>923</v>
      </c>
    </row>
    <row r="58" spans="1:11" ht="33" x14ac:dyDescent="0.3">
      <c r="A58" t="s">
        <v>925</v>
      </c>
      <c r="B58" t="s">
        <v>1186</v>
      </c>
      <c r="C58" t="s">
        <v>1522</v>
      </c>
      <c r="D58" t="s">
        <v>1257</v>
      </c>
      <c r="E58" s="15">
        <f t="shared" si="5"/>
        <v>1.37</v>
      </c>
      <c r="F58" s="15">
        <f t="shared" si="6"/>
        <v>1.3800000000000001</v>
      </c>
      <c r="G58" s="15">
        <f t="shared" si="7"/>
        <v>3</v>
      </c>
      <c r="H58" s="15">
        <f t="shared" si="8"/>
        <v>2</v>
      </c>
      <c r="I58" t="str">
        <f t="shared" si="9"/>
        <v>Uncommon</v>
      </c>
      <c r="J58" s="1" t="s">
        <v>1486</v>
      </c>
      <c r="K58" s="1" t="s">
        <v>928</v>
      </c>
    </row>
    <row r="59" spans="1:11" ht="33" x14ac:dyDescent="0.3">
      <c r="A59" t="s">
        <v>930</v>
      </c>
      <c r="B59" t="s">
        <v>1259</v>
      </c>
      <c r="C59" t="s">
        <v>1522</v>
      </c>
      <c r="D59" t="s">
        <v>236</v>
      </c>
      <c r="E59" s="15">
        <f t="shared" si="5"/>
        <v>1</v>
      </c>
      <c r="F59" s="15">
        <f t="shared" si="6"/>
        <v>1.1000000000000001</v>
      </c>
      <c r="G59" s="15">
        <f t="shared" si="7"/>
        <v>0</v>
      </c>
      <c r="H59" s="15">
        <f t="shared" si="8"/>
        <v>1</v>
      </c>
      <c r="I59" t="str">
        <f t="shared" si="9"/>
        <v>Common</v>
      </c>
      <c r="J59" s="1" t="s">
        <v>1486</v>
      </c>
      <c r="K59" s="1" t="s">
        <v>932</v>
      </c>
    </row>
    <row r="60" spans="1:11" ht="33" x14ac:dyDescent="0.3">
      <c r="A60" t="s">
        <v>934</v>
      </c>
      <c r="B60" t="s">
        <v>1196</v>
      </c>
      <c r="C60" t="s">
        <v>1488</v>
      </c>
      <c r="D60" t="s">
        <v>1222</v>
      </c>
      <c r="E60" s="15">
        <f t="shared" si="5"/>
        <v>1</v>
      </c>
      <c r="F60" s="15">
        <f t="shared" si="6"/>
        <v>1.1000000000000001</v>
      </c>
      <c r="G60" s="15">
        <f t="shared" si="7"/>
        <v>0</v>
      </c>
      <c r="H60" s="15">
        <f t="shared" si="8"/>
        <v>1</v>
      </c>
      <c r="I60" t="str">
        <f t="shared" si="9"/>
        <v>Common</v>
      </c>
      <c r="J60" s="1" t="s">
        <v>1486</v>
      </c>
      <c r="K60" s="1" t="s">
        <v>935</v>
      </c>
    </row>
    <row r="61" spans="1:11" ht="33" x14ac:dyDescent="0.3">
      <c r="A61" t="s">
        <v>937</v>
      </c>
      <c r="B61" t="s">
        <v>1196</v>
      </c>
      <c r="C61" t="s">
        <v>1488</v>
      </c>
      <c r="D61" t="s">
        <v>1222</v>
      </c>
      <c r="E61" s="15">
        <f t="shared" si="5"/>
        <v>1</v>
      </c>
      <c r="F61" s="15">
        <f t="shared" si="6"/>
        <v>1.1000000000000001</v>
      </c>
      <c r="G61" s="15">
        <f t="shared" si="7"/>
        <v>0</v>
      </c>
      <c r="H61" s="15">
        <f t="shared" si="8"/>
        <v>1</v>
      </c>
      <c r="I61" t="str">
        <f t="shared" si="9"/>
        <v>Common</v>
      </c>
      <c r="J61" s="1" t="s">
        <v>1486</v>
      </c>
      <c r="K61" s="1" t="s">
        <v>1589</v>
      </c>
    </row>
    <row r="62" spans="1:11" ht="33" x14ac:dyDescent="0.3">
      <c r="A62" t="s">
        <v>940</v>
      </c>
      <c r="B62" t="s">
        <v>1233</v>
      </c>
      <c r="C62" t="s">
        <v>1590</v>
      </c>
      <c r="D62" t="s">
        <v>256</v>
      </c>
      <c r="E62" s="15">
        <f t="shared" si="5"/>
        <v>1.2</v>
      </c>
      <c r="F62" s="15">
        <f t="shared" si="6"/>
        <v>1.28</v>
      </c>
      <c r="G62" s="15">
        <f t="shared" si="7"/>
        <v>-1</v>
      </c>
      <c r="H62" s="15">
        <f t="shared" si="8"/>
        <v>1</v>
      </c>
      <c r="I62" t="str">
        <f t="shared" si="9"/>
        <v>Common</v>
      </c>
      <c r="J62" s="1" t="s">
        <v>1486</v>
      </c>
      <c r="K62" s="1" t="s">
        <v>945</v>
      </c>
    </row>
    <row r="63" spans="1:11" ht="33" x14ac:dyDescent="0.3">
      <c r="A63" t="s">
        <v>947</v>
      </c>
      <c r="B63" t="s">
        <v>1200</v>
      </c>
      <c r="C63" t="s">
        <v>1509</v>
      </c>
      <c r="D63" t="s">
        <v>1246</v>
      </c>
      <c r="E63" s="15">
        <f t="shared" si="5"/>
        <v>1.18</v>
      </c>
      <c r="F63" s="15">
        <f t="shared" si="6"/>
        <v>1.2200000000000002</v>
      </c>
      <c r="G63" s="15">
        <f t="shared" si="7"/>
        <v>2</v>
      </c>
      <c r="H63" s="15">
        <f t="shared" si="8"/>
        <v>1</v>
      </c>
      <c r="I63" t="str">
        <f t="shared" si="9"/>
        <v>Common</v>
      </c>
      <c r="J63" s="1" t="s">
        <v>1486</v>
      </c>
      <c r="K63" s="1" t="s">
        <v>949</v>
      </c>
    </row>
    <row r="64" spans="1:11" ht="33" x14ac:dyDescent="0.3">
      <c r="A64" t="s">
        <v>951</v>
      </c>
      <c r="B64" t="s">
        <v>1233</v>
      </c>
      <c r="C64" t="s">
        <v>1590</v>
      </c>
      <c r="D64" t="s">
        <v>256</v>
      </c>
      <c r="E64" s="15">
        <f t="shared" si="5"/>
        <v>1.2</v>
      </c>
      <c r="F64" s="15">
        <f t="shared" si="6"/>
        <v>1.28</v>
      </c>
      <c r="G64" s="15">
        <f t="shared" si="7"/>
        <v>-1</v>
      </c>
      <c r="H64" s="15">
        <f t="shared" si="8"/>
        <v>1</v>
      </c>
      <c r="I64" t="str">
        <f t="shared" si="9"/>
        <v>Common</v>
      </c>
      <c r="J64" s="1" t="s">
        <v>1486</v>
      </c>
      <c r="K64" s="1" t="s">
        <v>954</v>
      </c>
    </row>
    <row r="65" spans="1:11" ht="49.5" x14ac:dyDescent="0.3">
      <c r="A65" t="s">
        <v>956</v>
      </c>
      <c r="B65" t="s">
        <v>1234</v>
      </c>
      <c r="C65" t="s">
        <v>1590</v>
      </c>
      <c r="D65" t="s">
        <v>1262</v>
      </c>
      <c r="E65" s="15">
        <f t="shared" si="5"/>
        <v>1</v>
      </c>
      <c r="F65" s="15">
        <f t="shared" si="6"/>
        <v>1.1000000000000001</v>
      </c>
      <c r="G65" s="15">
        <f t="shared" si="7"/>
        <v>0</v>
      </c>
      <c r="H65" s="15">
        <f t="shared" si="8"/>
        <v>1</v>
      </c>
      <c r="I65" t="str">
        <f t="shared" si="9"/>
        <v>Common</v>
      </c>
      <c r="J65" s="1" t="s">
        <v>1486</v>
      </c>
      <c r="K65" s="1" t="s">
        <v>959</v>
      </c>
    </row>
    <row r="66" spans="1:11" ht="33" x14ac:dyDescent="0.3">
      <c r="A66" t="s">
        <v>961</v>
      </c>
      <c r="B66" t="s">
        <v>1189</v>
      </c>
      <c r="C66" t="s">
        <v>1483</v>
      </c>
      <c r="D66" t="s">
        <v>1263</v>
      </c>
      <c r="E66" s="15">
        <f t="shared" si="5"/>
        <v>1.25</v>
      </c>
      <c r="F66" s="15">
        <f t="shared" si="6"/>
        <v>1.28</v>
      </c>
      <c r="G66" s="15">
        <f t="shared" si="7"/>
        <v>0</v>
      </c>
      <c r="H66" s="15">
        <f t="shared" si="8"/>
        <v>1</v>
      </c>
      <c r="I66" t="str">
        <f t="shared" si="9"/>
        <v>Uncommon</v>
      </c>
      <c r="J66" s="1" t="s">
        <v>1486</v>
      </c>
      <c r="K66" s="1" t="s">
        <v>964</v>
      </c>
    </row>
    <row r="67" spans="1:11" ht="49.5" x14ac:dyDescent="0.3">
      <c r="A67" t="s">
        <v>966</v>
      </c>
      <c r="B67" t="s">
        <v>1248</v>
      </c>
      <c r="C67" t="s">
        <v>1522</v>
      </c>
      <c r="D67" t="s">
        <v>1264</v>
      </c>
      <c r="E67" s="15">
        <f t="shared" si="5"/>
        <v>0.95</v>
      </c>
      <c r="F67" s="15">
        <f t="shared" si="6"/>
        <v>1.1000000000000001</v>
      </c>
      <c r="G67" s="15">
        <f t="shared" si="7"/>
        <v>-1</v>
      </c>
      <c r="H67" s="15">
        <f t="shared" si="8"/>
        <v>1</v>
      </c>
      <c r="I67" t="str">
        <f t="shared" si="9"/>
        <v>Common</v>
      </c>
      <c r="J67" s="1" t="s">
        <v>1486</v>
      </c>
      <c r="K67" s="1" t="s">
        <v>969</v>
      </c>
    </row>
    <row r="68" spans="1:11" ht="33" x14ac:dyDescent="0.3">
      <c r="A68" t="s">
        <v>971</v>
      </c>
      <c r="B68" t="s">
        <v>1266</v>
      </c>
      <c r="C68" t="s">
        <v>1488</v>
      </c>
      <c r="D68" t="s">
        <v>155</v>
      </c>
      <c r="E68" s="15">
        <f t="shared" si="5"/>
        <v>0.95</v>
      </c>
      <c r="F68" s="15">
        <f t="shared" si="6"/>
        <v>1.1000000000000001</v>
      </c>
      <c r="G68" s="15">
        <f t="shared" si="7"/>
        <v>-1</v>
      </c>
      <c r="H68" s="15">
        <f t="shared" si="8"/>
        <v>1</v>
      </c>
      <c r="I68" t="str">
        <f t="shared" si="9"/>
        <v>Common</v>
      </c>
      <c r="J68" s="1" t="s">
        <v>1486</v>
      </c>
      <c r="K68" s="1" t="s">
        <v>975</v>
      </c>
    </row>
    <row r="69" spans="1:11" ht="82.5" x14ac:dyDescent="0.3">
      <c r="A69" t="s">
        <v>977</v>
      </c>
      <c r="B69" t="s">
        <v>1268</v>
      </c>
      <c r="C69" t="s">
        <v>1590</v>
      </c>
      <c r="D69" t="s">
        <v>1269</v>
      </c>
      <c r="E69" s="15">
        <f t="shared" si="5"/>
        <v>1.38</v>
      </c>
      <c r="F69" s="15">
        <f t="shared" si="6"/>
        <v>1.4</v>
      </c>
      <c r="G69" s="15">
        <f t="shared" si="7"/>
        <v>1</v>
      </c>
      <c r="H69" s="15">
        <f t="shared" si="8"/>
        <v>2</v>
      </c>
      <c r="I69" t="str">
        <f t="shared" si="9"/>
        <v>Uncommon</v>
      </c>
      <c r="J69" s="1" t="s">
        <v>1486</v>
      </c>
      <c r="K69" s="1" t="s">
        <v>980</v>
      </c>
    </row>
    <row r="70" spans="1:11" ht="49.5" x14ac:dyDescent="0.3">
      <c r="A70" t="s">
        <v>982</v>
      </c>
      <c r="B70" t="s">
        <v>1233</v>
      </c>
      <c r="C70" t="s">
        <v>1590</v>
      </c>
      <c r="D70" t="s">
        <v>255</v>
      </c>
      <c r="E70" s="15">
        <f t="shared" si="5"/>
        <v>1.2</v>
      </c>
      <c r="F70" s="15">
        <f t="shared" si="6"/>
        <v>1.28</v>
      </c>
      <c r="G70" s="15">
        <f t="shared" si="7"/>
        <v>-1</v>
      </c>
      <c r="H70" s="15">
        <f t="shared" si="8"/>
        <v>1</v>
      </c>
      <c r="I70" t="str">
        <f t="shared" si="9"/>
        <v>Common</v>
      </c>
      <c r="J70" s="1" t="s">
        <v>1486</v>
      </c>
      <c r="K70" s="1" t="s">
        <v>985</v>
      </c>
    </row>
  </sheetData>
  <mergeCells count="1">
    <mergeCell ref="A1:K1"/>
  </mergeCells>
  <phoneticPr fontId="7" type="noConversion"/>
  <conditionalFormatting sqref="E4:E70">
    <cfRule type="dataBar" priority="1">
      <dataBar>
        <cfvo type="min"/>
        <cfvo type="max"/>
        <color rgb="FF22C55E"/>
      </dataBar>
    </cfRule>
    <cfRule type="dataBar" priority="2">
      <dataBar>
        <cfvo type="min"/>
        <cfvo type="max"/>
        <color rgb="FF22C55E"/>
      </dataBar>
      <extLst>
        <ext xmlns:x14="http://schemas.microsoft.com/office/spreadsheetml/2009/9/main" uri="{B025F937-C7B1-47D3-B67F-A62EFF666E3E}">
          <x14:id>{2FB87257-88F1-2C75-7923-C064E4B7931B}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FB87257-88F1-2C75-7923-C064E4B7931B}">
            <x14:dataBar>
              <x14:cfvo type="min"/>
              <x14:cfvo type="max"/>
              <x14:negativeFillColor auto="1"/>
              <x14:axisColor auto="1"/>
            </x14:dataBar>
          </x14:cfRule>
          <xm:sqref>E4:E70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33"/>
  <sheetViews>
    <sheetView workbookViewId="0">
      <selection sqref="A1:S1"/>
    </sheetView>
  </sheetViews>
  <sheetFormatPr defaultRowHeight="16.5" x14ac:dyDescent="0.3"/>
  <cols>
    <col min="1" max="1" width="63.875" customWidth="1"/>
    <col min="2" max="2" width="4.5" customWidth="1"/>
    <col min="3" max="3" width="13.875" customWidth="1"/>
    <col min="4" max="4" width="18.125" customWidth="1"/>
    <col min="5" max="5" width="7" customWidth="1"/>
    <col min="6" max="6" width="26.75" customWidth="1"/>
    <col min="7" max="7" width="8.625" customWidth="1"/>
    <col min="8" max="8" width="8.5" customWidth="1"/>
    <col min="9" max="9" width="25.75" customWidth="1"/>
    <col min="10" max="10" width="8.625" customWidth="1"/>
    <col min="11" max="11" width="8.5" customWidth="1"/>
    <col min="12" max="12" width="26.25" customWidth="1"/>
    <col min="13" max="13" width="8.625" customWidth="1"/>
    <col min="14" max="14" width="8.5" customWidth="1"/>
    <col min="15" max="15" width="7.375" customWidth="1"/>
    <col min="16" max="16" width="11.25" customWidth="1"/>
    <col min="17" max="19" width="10.375" customWidth="1"/>
  </cols>
  <sheetData>
    <row r="1" spans="1:19" ht="20.25" x14ac:dyDescent="0.3">
      <c r="A1" s="16" t="s">
        <v>1750</v>
      </c>
      <c r="B1" s="17"/>
      <c r="C1" s="17"/>
      <c r="D1" s="17"/>
      <c r="E1" s="17"/>
      <c r="F1" s="17"/>
      <c r="G1" s="17"/>
      <c r="H1" s="17"/>
      <c r="I1" s="17"/>
      <c r="J1" s="17"/>
      <c r="K1" s="17"/>
      <c r="L1" s="17"/>
      <c r="M1" s="17"/>
      <c r="N1" s="17"/>
      <c r="O1" s="17"/>
      <c r="P1" s="17"/>
      <c r="Q1" s="17"/>
      <c r="R1" s="17"/>
      <c r="S1" s="17"/>
    </row>
    <row r="3" spans="1:19" x14ac:dyDescent="0.3">
      <c r="A3" s="11" t="s">
        <v>1751</v>
      </c>
      <c r="B3" s="11" t="s">
        <v>1701</v>
      </c>
      <c r="C3" s="11" t="s">
        <v>1752</v>
      </c>
      <c r="D3" s="11" t="s">
        <v>1009</v>
      </c>
      <c r="E3" s="11" t="s">
        <v>1753</v>
      </c>
      <c r="F3" s="11" t="s">
        <v>1754</v>
      </c>
      <c r="G3" s="11" t="s">
        <v>1755</v>
      </c>
      <c r="H3" s="11" t="s">
        <v>1756</v>
      </c>
      <c r="I3" s="11" t="s">
        <v>1757</v>
      </c>
      <c r="J3" s="11" t="s">
        <v>1758</v>
      </c>
      <c r="K3" s="11" t="s">
        <v>1759</v>
      </c>
      <c r="L3" s="11" t="s">
        <v>1760</v>
      </c>
      <c r="M3" s="11" t="s">
        <v>1761</v>
      </c>
      <c r="N3" s="11" t="s">
        <v>1762</v>
      </c>
      <c r="O3" s="11" t="s">
        <v>1763</v>
      </c>
      <c r="P3" s="11" t="s">
        <v>1764</v>
      </c>
      <c r="Q3" s="11" t="s">
        <v>1702</v>
      </c>
      <c r="R3" s="11" t="s">
        <v>1765</v>
      </c>
      <c r="S3" s="11" t="s">
        <v>1766</v>
      </c>
    </row>
    <row r="4" spans="1:19" x14ac:dyDescent="0.3">
      <c r="A4" t="s">
        <v>1767</v>
      </c>
      <c r="B4" s="14">
        <v>10</v>
      </c>
      <c r="C4" t="s">
        <v>553</v>
      </c>
      <c r="D4" t="str">
        <f>IFERROR(VLOOKUP(C4,SKILL_DPS_BUDGET!$A$4:$N$58,2,FALSE),"")</f>
        <v>Fire Projectile Tower</v>
      </c>
      <c r="E4" s="15">
        <f>IFERROR(VLOOKUP(C4,SKILL_DPS_BUDGET!$A$4:$N$58,9,FALSE),0)</f>
        <v>405</v>
      </c>
      <c r="F4" s="15" t="s">
        <v>654</v>
      </c>
      <c r="G4" s="15">
        <f>IF(F4="",1,IFERROR(VLOOKUP(F4,SUPPORT_MODIFIER_CALC!$A$4:$K$70,5,FALSE),1))</f>
        <v>1.1200000000000001</v>
      </c>
      <c r="H4" s="15">
        <f>IF(F4="",1,IFERROR(VLOOKUP(F4,SUPPORT_MODIFIER_CALC!$A$4:$K$70,6,FALSE),1))</f>
        <v>1.2000000000000002</v>
      </c>
      <c r="I4" s="15" t="s">
        <v>694</v>
      </c>
      <c r="J4" s="15">
        <f>IF(I4="",1,IFERROR(VLOOKUP(I4,SUPPORT_MODIFIER_CALC!$A$4:$K$70,5,FALSE),1))</f>
        <v>1.18</v>
      </c>
      <c r="K4" s="15">
        <f>IF(I4="",1,IFERROR(VLOOKUP(I4,SUPPORT_MODIFIER_CALC!$A$4:$K$70,6,FALSE),1))</f>
        <v>1.2200000000000002</v>
      </c>
      <c r="L4" s="15" t="s">
        <v>638</v>
      </c>
      <c r="M4" s="15">
        <f>IF(L4="",1,IFERROR(VLOOKUP(L4,SUPPORT_MODIFIER_CALC!$A$4:$K$70,5,FALSE),1))</f>
        <v>1.25</v>
      </c>
      <c r="N4" s="15">
        <f>IF(L4="",1,IFERROR(VLOOKUP(L4,SUPPORT_MODIFIER_CALC!$A$4:$K$70,6,FALSE),1))</f>
        <v>1.28</v>
      </c>
      <c r="O4" s="15">
        <f t="shared" ref="O4:O33" si="0">E4*G4*J4*M4</f>
        <v>669.06000000000006</v>
      </c>
      <c r="P4" s="15">
        <f t="shared" ref="P4:P33" si="1">H4*K4*N4</f>
        <v>1.8739200000000005</v>
      </c>
      <c r="Q4" s="15">
        <f>IFERROR(INDEX(ENEMY_HP_CURVE!$B$4:$B$53,B4),0)</f>
        <v>5159.7803519999998</v>
      </c>
      <c r="R4" s="15">
        <f t="shared" ref="R4:R33" si="2">IF(O4=0,"",Q4/O4)</f>
        <v>7.7119845036319603</v>
      </c>
      <c r="S4" s="15">
        <f>IF(R4="","",VLOOKUP("TargetTTK_Normal",BALANCE_INPUTS!$B$4:$C$18,2,FALSE)/R4)</f>
        <v>0.20746929655349797</v>
      </c>
    </row>
    <row r="5" spans="1:19" x14ac:dyDescent="0.3">
      <c r="A5" t="s">
        <v>1768</v>
      </c>
      <c r="B5" s="14">
        <v>10</v>
      </c>
      <c r="C5" t="s">
        <v>514</v>
      </c>
      <c r="D5" t="str">
        <f>IFERROR(VLOOKUP(C5,SKILL_DPS_BUDGET!$A$4:$N$58,2,FALSE),"")</f>
        <v>Lightning Chain Tower</v>
      </c>
      <c r="E5" s="15">
        <f>IFERROR(VLOOKUP(C5,SKILL_DPS_BUDGET!$A$4:$N$58,9,FALSE),0)</f>
        <v>202.5</v>
      </c>
      <c r="F5" s="15" t="s">
        <v>880</v>
      </c>
      <c r="G5" s="15">
        <f>IF(F5="",1,IFERROR(VLOOKUP(F5,SUPPORT_MODIFIER_CALC!$A$4:$K$70,5,FALSE),1))</f>
        <v>1.25</v>
      </c>
      <c r="H5" s="15">
        <f>IF(F5="",1,IFERROR(VLOOKUP(F5,SUPPORT_MODIFIER_CALC!$A$4:$K$70,6,FALSE),1))</f>
        <v>1.28</v>
      </c>
      <c r="I5" s="15" t="s">
        <v>919</v>
      </c>
      <c r="J5" s="15">
        <f>IF(I5="",1,IFERROR(VLOOKUP(I5,SUPPORT_MODIFIER_CALC!$A$4:$K$70,5,FALSE),1))</f>
        <v>1</v>
      </c>
      <c r="K5" s="15">
        <f>IF(I5="",1,IFERROR(VLOOKUP(I5,SUPPORT_MODIFIER_CALC!$A$4:$K$70,6,FALSE),1))</f>
        <v>1.1000000000000001</v>
      </c>
      <c r="L5" s="15" t="s">
        <v>937</v>
      </c>
      <c r="M5" s="15">
        <f>IF(L5="",1,IFERROR(VLOOKUP(L5,SUPPORT_MODIFIER_CALC!$A$4:$K$70,5,FALSE),1))</f>
        <v>1</v>
      </c>
      <c r="N5" s="15">
        <f>IF(L5="",1,IFERROR(VLOOKUP(L5,SUPPORT_MODIFIER_CALC!$A$4:$K$70,6,FALSE),1))</f>
        <v>1.1000000000000001</v>
      </c>
      <c r="O5" s="15">
        <f t="shared" si="0"/>
        <v>253.125</v>
      </c>
      <c r="P5" s="15">
        <f t="shared" si="1"/>
        <v>1.5488000000000002</v>
      </c>
      <c r="Q5" s="15">
        <f>IFERROR(INDEX(ENEMY_HP_CURVE!$B$4:$B$53,B5),0)</f>
        <v>5159.7803519999998</v>
      </c>
      <c r="R5" s="15">
        <f t="shared" si="2"/>
        <v>20.38431744</v>
      </c>
      <c r="S5" s="15">
        <f>IF(R5="","",VLOOKUP("TargetTTK_Normal",BALANCE_INPUTS!$B$4:$C$18,2,FALSE)/R5)</f>
        <v>7.8491713284465026E-2</v>
      </c>
    </row>
    <row r="6" spans="1:19" x14ac:dyDescent="0.3">
      <c r="A6" t="s">
        <v>1769</v>
      </c>
      <c r="B6" s="14">
        <v>10</v>
      </c>
      <c r="C6" t="s">
        <v>506</v>
      </c>
      <c r="D6" t="str">
        <f>IFERROR(VLOOKUP(C6,SKILL_DPS_BUDGET!$A$4:$N$58,2,FALSE),"")</f>
        <v>Chaos DoT Zone Tower</v>
      </c>
      <c r="E6" s="15">
        <f>IFERROR(VLOOKUP(C6,SKILL_DPS_BUDGET!$A$4:$N$58,9,FALSE),0)</f>
        <v>344.25</v>
      </c>
      <c r="F6" s="15" t="s">
        <v>717</v>
      </c>
      <c r="G6" s="15">
        <f>IF(F6="",1,IFERROR(VLOOKUP(F6,SUPPORT_MODIFIER_CALC!$A$4:$K$70,5,FALSE),1))</f>
        <v>1.08</v>
      </c>
      <c r="H6" s="15">
        <f>IF(F6="",1,IFERROR(VLOOKUP(F6,SUPPORT_MODIFIER_CALC!$A$4:$K$70,6,FALSE),1))</f>
        <v>1.1800000000000002</v>
      </c>
      <c r="I6" s="15" t="s">
        <v>675</v>
      </c>
      <c r="J6" s="15">
        <f>IF(I6="",1,IFERROR(VLOOKUP(I6,SUPPORT_MODIFIER_CALC!$A$4:$K$70,5,FALSE),1))</f>
        <v>1.28</v>
      </c>
      <c r="K6" s="15">
        <f>IF(I6="",1,IFERROR(VLOOKUP(I6,SUPPORT_MODIFIER_CALC!$A$4:$K$70,6,FALSE),1))</f>
        <v>1.36</v>
      </c>
      <c r="L6" s="15" t="s">
        <v>868</v>
      </c>
      <c r="M6" s="15">
        <f>IF(L6="",1,IFERROR(VLOOKUP(L6,SUPPORT_MODIFIER_CALC!$A$4:$K$70,5,FALSE),1))</f>
        <v>0.95</v>
      </c>
      <c r="N6" s="15">
        <f>IF(L6="",1,IFERROR(VLOOKUP(L6,SUPPORT_MODIFIER_CALC!$A$4:$K$70,6,FALSE),1))</f>
        <v>1.1000000000000001</v>
      </c>
      <c r="O6" s="15">
        <f t="shared" si="0"/>
        <v>452.09663999999998</v>
      </c>
      <c r="P6" s="15">
        <f t="shared" si="1"/>
        <v>1.7652800000000004</v>
      </c>
      <c r="Q6" s="15">
        <f>IFERROR(INDEX(ENEMY_HP_CURVE!$B$4:$B$53,B6),0)</f>
        <v>5159.7803519999998</v>
      </c>
      <c r="R6" s="15">
        <f t="shared" si="2"/>
        <v>11.413003095975233</v>
      </c>
      <c r="S6" s="15">
        <f>IF(R6="","",VLOOKUP("TargetTTK_Normal",BALANCE_INPUTS!$B$4:$C$18,2,FALSE)/R6)</f>
        <v>0.14019097222222221</v>
      </c>
    </row>
    <row r="7" spans="1:19" x14ac:dyDescent="0.3">
      <c r="A7" t="s">
        <v>1770</v>
      </c>
      <c r="B7" s="14">
        <v>10</v>
      </c>
      <c r="C7" t="s">
        <v>285</v>
      </c>
      <c r="D7" t="str">
        <f>IFERROR(VLOOKUP(C7,SKILL_DPS_BUDGET!$A$4:$N$58,2,FALSE),"")</f>
        <v>Minion Spawner</v>
      </c>
      <c r="E7" s="15">
        <f>IFERROR(VLOOKUP(C7,SKILL_DPS_BUDGET!$A$4:$N$58,9,FALSE),0)</f>
        <v>344.25</v>
      </c>
      <c r="F7" s="15" t="s">
        <v>951</v>
      </c>
      <c r="G7" s="15">
        <f>IF(F7="",1,IFERROR(VLOOKUP(F7,SUPPORT_MODIFIER_CALC!$A$4:$K$70,5,FALSE),1))</f>
        <v>1.2</v>
      </c>
      <c r="H7" s="15">
        <f>IF(F7="",1,IFERROR(VLOOKUP(F7,SUPPORT_MODIFIER_CALC!$A$4:$K$70,6,FALSE),1))</f>
        <v>1.28</v>
      </c>
      <c r="I7" s="15" t="s">
        <v>710</v>
      </c>
      <c r="J7" s="15">
        <f>IF(I7="",1,IFERROR(VLOOKUP(I7,SUPPORT_MODIFIER_CALC!$A$4:$K$70,5,FALSE),1))</f>
        <v>1.37</v>
      </c>
      <c r="K7" s="15">
        <f>IF(I7="",1,IFERROR(VLOOKUP(I7,SUPPORT_MODIFIER_CALC!$A$4:$K$70,6,FALSE),1))</f>
        <v>1.3800000000000001</v>
      </c>
      <c r="L7" s="15" t="s">
        <v>717</v>
      </c>
      <c r="M7" s="15">
        <f>IF(L7="",1,IFERROR(VLOOKUP(L7,SUPPORT_MODIFIER_CALC!$A$4:$K$70,5,FALSE),1))</f>
        <v>1.08</v>
      </c>
      <c r="N7" s="15">
        <f>IF(L7="",1,IFERROR(VLOOKUP(L7,SUPPORT_MODIFIER_CALC!$A$4:$K$70,6,FALSE),1))</f>
        <v>1.1800000000000002</v>
      </c>
      <c r="O7" s="15">
        <f t="shared" si="0"/>
        <v>611.22275999999999</v>
      </c>
      <c r="P7" s="15">
        <f t="shared" si="1"/>
        <v>2.0843520000000004</v>
      </c>
      <c r="Q7" s="15">
        <f>IFERROR(INDEX(ENEMY_HP_CURVE!$B$4:$B$53,B7),0)</f>
        <v>5159.7803519999998</v>
      </c>
      <c r="R7" s="15">
        <f t="shared" si="2"/>
        <v>8.4417346500644044</v>
      </c>
      <c r="S7" s="15">
        <f>IF(R7="","",VLOOKUP("TargetTTK_Normal",BALANCE_INPUTS!$B$4:$C$18,2,FALSE)/R7)</f>
        <v>0.18953450520833337</v>
      </c>
    </row>
    <row r="8" spans="1:19" x14ac:dyDescent="0.3">
      <c r="A8" t="s">
        <v>1771</v>
      </c>
      <c r="B8" s="14">
        <v>10</v>
      </c>
      <c r="C8" t="s">
        <v>217</v>
      </c>
      <c r="D8" t="str">
        <f>IFERROR(VLOOKUP(C8,SKILL_DPS_BUDGET!$A$4:$N$58,2,FALSE),"")</f>
        <v>Fire Projectile Tower</v>
      </c>
      <c r="E8" s="15">
        <f>IFERROR(VLOOKUP(C8,SKILL_DPS_BUDGET!$A$4:$N$58,9,FALSE),0)</f>
        <v>405</v>
      </c>
      <c r="F8" s="15" t="s">
        <v>638</v>
      </c>
      <c r="G8" s="15">
        <f>IF(F8="",1,IFERROR(VLOOKUP(F8,SUPPORT_MODIFIER_CALC!$A$4:$K$70,5,FALSE),1))</f>
        <v>1.25</v>
      </c>
      <c r="H8" s="15">
        <f>IF(F8="",1,IFERROR(VLOOKUP(F8,SUPPORT_MODIFIER_CALC!$A$4:$K$70,6,FALSE),1))</f>
        <v>1.28</v>
      </c>
      <c r="I8" s="15" t="s">
        <v>694</v>
      </c>
      <c r="J8" s="15">
        <f>IF(I8="",1,IFERROR(VLOOKUP(I8,SUPPORT_MODIFIER_CALC!$A$4:$K$70,5,FALSE),1))</f>
        <v>1.18</v>
      </c>
      <c r="K8" s="15">
        <f>IF(I8="",1,IFERROR(VLOOKUP(I8,SUPPORT_MODIFIER_CALC!$A$4:$K$70,6,FALSE),1))</f>
        <v>1.2200000000000002</v>
      </c>
      <c r="L8" s="15" t="s">
        <v>722</v>
      </c>
      <c r="M8" s="15">
        <f>IF(L8="",1,IFERROR(VLOOKUP(L8,SUPPORT_MODIFIER_CALC!$A$4:$K$70,5,FALSE),1))</f>
        <v>1.2</v>
      </c>
      <c r="N8" s="15">
        <f>IF(L8="",1,IFERROR(VLOOKUP(L8,SUPPORT_MODIFIER_CALC!$A$4:$K$70,6,FALSE),1))</f>
        <v>1.28</v>
      </c>
      <c r="O8" s="15">
        <f t="shared" si="0"/>
        <v>716.85</v>
      </c>
      <c r="P8" s="15">
        <f t="shared" si="1"/>
        <v>1.9988480000000004</v>
      </c>
      <c r="Q8" s="15">
        <f>IFERROR(INDEX(ENEMY_HP_CURVE!$B$4:$B$53,B8),0)</f>
        <v>5159.7803519999998</v>
      </c>
      <c r="R8" s="15">
        <f t="shared" si="2"/>
        <v>7.1978522033898296</v>
      </c>
      <c r="S8" s="15">
        <f>IF(R8="","",VLOOKUP("TargetTTK_Normal",BALANCE_INPUTS!$B$4:$C$18,2,FALSE)/R8)</f>
        <v>0.22228853202160498</v>
      </c>
    </row>
    <row r="9" spans="1:19" x14ac:dyDescent="0.3">
      <c r="A9" t="s">
        <v>1772</v>
      </c>
      <c r="B9" s="14">
        <v>10</v>
      </c>
      <c r="D9" t="str">
        <f>IFERROR(VLOOKUP(C9,SKILL_DPS_BUDGET!$A$4:$N$58,2,FALSE),"")</f>
        <v/>
      </c>
      <c r="E9" s="15">
        <f>IFERROR(VLOOKUP(C9,SKILL_DPS_BUDGET!$A$4:$N$58,9,FALSE),0)</f>
        <v>0</v>
      </c>
      <c r="F9" s="15"/>
      <c r="G9" s="15">
        <f>IF(F9="",1,IFERROR(VLOOKUP(F9,SUPPORT_MODIFIER_CALC!$A$4:$K$70,5,FALSE),1))</f>
        <v>1</v>
      </c>
      <c r="H9" s="15">
        <f>IF(F9="",1,IFERROR(VLOOKUP(F9,SUPPORT_MODIFIER_CALC!$A$4:$K$70,6,FALSE),1))</f>
        <v>1</v>
      </c>
      <c r="I9" s="15"/>
      <c r="J9" s="15">
        <f>IF(I9="",1,IFERROR(VLOOKUP(I9,SUPPORT_MODIFIER_CALC!$A$4:$K$70,5,FALSE),1))</f>
        <v>1</v>
      </c>
      <c r="K9" s="15">
        <f>IF(I9="",1,IFERROR(VLOOKUP(I9,SUPPORT_MODIFIER_CALC!$A$4:$K$70,6,FALSE),1))</f>
        <v>1</v>
      </c>
      <c r="L9" s="15"/>
      <c r="M9" s="15">
        <f>IF(L9="",1,IFERROR(VLOOKUP(L9,SUPPORT_MODIFIER_CALC!$A$4:$K$70,5,FALSE),1))</f>
        <v>1</v>
      </c>
      <c r="N9" s="15">
        <f>IF(L9="",1,IFERROR(VLOOKUP(L9,SUPPORT_MODIFIER_CALC!$A$4:$K$70,6,FALSE),1))</f>
        <v>1</v>
      </c>
      <c r="O9" s="15">
        <f t="shared" si="0"/>
        <v>0</v>
      </c>
      <c r="P9" s="15">
        <f t="shared" si="1"/>
        <v>1</v>
      </c>
      <c r="Q9" s="15">
        <f>IFERROR(INDEX(ENEMY_HP_CURVE!$B$4:$B$53,B9),0)</f>
        <v>5159.7803519999998</v>
      </c>
      <c r="R9" s="15" t="str">
        <f t="shared" si="2"/>
        <v/>
      </c>
      <c r="S9" s="15" t="str">
        <f>IF(R9="","",VLOOKUP("TargetTTK_Normal",BALANCE_INPUTS!$B$4:$C$18,2,FALSE)/R9)</f>
        <v/>
      </c>
    </row>
    <row r="10" spans="1:19" x14ac:dyDescent="0.3">
      <c r="A10" t="s">
        <v>1773</v>
      </c>
      <c r="B10" s="14">
        <v>10</v>
      </c>
      <c r="D10" t="str">
        <f>IFERROR(VLOOKUP(C10,SKILL_DPS_BUDGET!$A$4:$N$58,2,FALSE),"")</f>
        <v/>
      </c>
      <c r="E10" s="15">
        <f>IFERROR(VLOOKUP(C10,SKILL_DPS_BUDGET!$A$4:$N$58,9,FALSE),0)</f>
        <v>0</v>
      </c>
      <c r="F10" s="15"/>
      <c r="G10" s="15">
        <f>IF(F10="",1,IFERROR(VLOOKUP(F10,SUPPORT_MODIFIER_CALC!$A$4:$K$70,5,FALSE),1))</f>
        <v>1</v>
      </c>
      <c r="H10" s="15">
        <f>IF(F10="",1,IFERROR(VLOOKUP(F10,SUPPORT_MODIFIER_CALC!$A$4:$K$70,6,FALSE),1))</f>
        <v>1</v>
      </c>
      <c r="I10" s="15"/>
      <c r="J10" s="15">
        <f>IF(I10="",1,IFERROR(VLOOKUP(I10,SUPPORT_MODIFIER_CALC!$A$4:$K$70,5,FALSE),1))</f>
        <v>1</v>
      </c>
      <c r="K10" s="15">
        <f>IF(I10="",1,IFERROR(VLOOKUP(I10,SUPPORT_MODIFIER_CALC!$A$4:$K$70,6,FALSE),1))</f>
        <v>1</v>
      </c>
      <c r="L10" s="15"/>
      <c r="M10" s="15">
        <f>IF(L10="",1,IFERROR(VLOOKUP(L10,SUPPORT_MODIFIER_CALC!$A$4:$K$70,5,FALSE),1))</f>
        <v>1</v>
      </c>
      <c r="N10" s="15">
        <f>IF(L10="",1,IFERROR(VLOOKUP(L10,SUPPORT_MODIFIER_CALC!$A$4:$K$70,6,FALSE),1))</f>
        <v>1</v>
      </c>
      <c r="O10" s="15">
        <f t="shared" si="0"/>
        <v>0</v>
      </c>
      <c r="P10" s="15">
        <f t="shared" si="1"/>
        <v>1</v>
      </c>
      <c r="Q10" s="15">
        <f>IFERROR(INDEX(ENEMY_HP_CURVE!$B$4:$B$53,B10),0)</f>
        <v>5159.7803519999998</v>
      </c>
      <c r="R10" s="15" t="str">
        <f t="shared" si="2"/>
        <v/>
      </c>
      <c r="S10" s="15" t="str">
        <f>IF(R10="","",VLOOKUP("TargetTTK_Normal",BALANCE_INPUTS!$B$4:$C$18,2,FALSE)/R10)</f>
        <v/>
      </c>
    </row>
    <row r="11" spans="1:19" x14ac:dyDescent="0.3">
      <c r="A11" t="s">
        <v>1774</v>
      </c>
      <c r="B11" s="14">
        <v>10</v>
      </c>
      <c r="D11" t="str">
        <f>IFERROR(VLOOKUP(C11,SKILL_DPS_BUDGET!$A$4:$N$58,2,FALSE),"")</f>
        <v/>
      </c>
      <c r="E11" s="15">
        <f>IFERROR(VLOOKUP(C11,SKILL_DPS_BUDGET!$A$4:$N$58,9,FALSE),0)</f>
        <v>0</v>
      </c>
      <c r="F11" s="15"/>
      <c r="G11" s="15">
        <f>IF(F11="",1,IFERROR(VLOOKUP(F11,SUPPORT_MODIFIER_CALC!$A$4:$K$70,5,FALSE),1))</f>
        <v>1</v>
      </c>
      <c r="H11" s="15">
        <f>IF(F11="",1,IFERROR(VLOOKUP(F11,SUPPORT_MODIFIER_CALC!$A$4:$K$70,6,FALSE),1))</f>
        <v>1</v>
      </c>
      <c r="I11" s="15"/>
      <c r="J11" s="15">
        <f>IF(I11="",1,IFERROR(VLOOKUP(I11,SUPPORT_MODIFIER_CALC!$A$4:$K$70,5,FALSE),1))</f>
        <v>1</v>
      </c>
      <c r="K11" s="15">
        <f>IF(I11="",1,IFERROR(VLOOKUP(I11,SUPPORT_MODIFIER_CALC!$A$4:$K$70,6,FALSE),1))</f>
        <v>1</v>
      </c>
      <c r="L11" s="15"/>
      <c r="M11" s="15">
        <f>IF(L11="",1,IFERROR(VLOOKUP(L11,SUPPORT_MODIFIER_CALC!$A$4:$K$70,5,FALSE),1))</f>
        <v>1</v>
      </c>
      <c r="N11" s="15">
        <f>IF(L11="",1,IFERROR(VLOOKUP(L11,SUPPORT_MODIFIER_CALC!$A$4:$K$70,6,FALSE),1))</f>
        <v>1</v>
      </c>
      <c r="O11" s="15">
        <f t="shared" si="0"/>
        <v>0</v>
      </c>
      <c r="P11" s="15">
        <f t="shared" si="1"/>
        <v>1</v>
      </c>
      <c r="Q11" s="15">
        <f>IFERROR(INDEX(ENEMY_HP_CURVE!$B$4:$B$53,B11),0)</f>
        <v>5159.7803519999998</v>
      </c>
      <c r="R11" s="15" t="str">
        <f t="shared" si="2"/>
        <v/>
      </c>
      <c r="S11" s="15" t="str">
        <f>IF(R11="","",VLOOKUP("TargetTTK_Normal",BALANCE_INPUTS!$B$4:$C$18,2,FALSE)/R11)</f>
        <v/>
      </c>
    </row>
    <row r="12" spans="1:19" x14ac:dyDescent="0.3">
      <c r="A12" t="s">
        <v>1775</v>
      </c>
      <c r="B12" s="14">
        <v>10</v>
      </c>
      <c r="D12" t="str">
        <f>IFERROR(VLOOKUP(C12,SKILL_DPS_BUDGET!$A$4:$N$58,2,FALSE),"")</f>
        <v/>
      </c>
      <c r="E12" s="15">
        <f>IFERROR(VLOOKUP(C12,SKILL_DPS_BUDGET!$A$4:$N$58,9,FALSE),0)</f>
        <v>0</v>
      </c>
      <c r="F12" s="15"/>
      <c r="G12" s="15">
        <f>IF(F12="",1,IFERROR(VLOOKUP(F12,SUPPORT_MODIFIER_CALC!$A$4:$K$70,5,FALSE),1))</f>
        <v>1</v>
      </c>
      <c r="H12" s="15">
        <f>IF(F12="",1,IFERROR(VLOOKUP(F12,SUPPORT_MODIFIER_CALC!$A$4:$K$70,6,FALSE),1))</f>
        <v>1</v>
      </c>
      <c r="I12" s="15"/>
      <c r="J12" s="15">
        <f>IF(I12="",1,IFERROR(VLOOKUP(I12,SUPPORT_MODIFIER_CALC!$A$4:$K$70,5,FALSE),1))</f>
        <v>1</v>
      </c>
      <c r="K12" s="15">
        <f>IF(I12="",1,IFERROR(VLOOKUP(I12,SUPPORT_MODIFIER_CALC!$A$4:$K$70,6,FALSE),1))</f>
        <v>1</v>
      </c>
      <c r="L12" s="15"/>
      <c r="M12" s="15">
        <f>IF(L12="",1,IFERROR(VLOOKUP(L12,SUPPORT_MODIFIER_CALC!$A$4:$K$70,5,FALSE),1))</f>
        <v>1</v>
      </c>
      <c r="N12" s="15">
        <f>IF(L12="",1,IFERROR(VLOOKUP(L12,SUPPORT_MODIFIER_CALC!$A$4:$K$70,6,FALSE),1))</f>
        <v>1</v>
      </c>
      <c r="O12" s="15">
        <f t="shared" si="0"/>
        <v>0</v>
      </c>
      <c r="P12" s="15">
        <f t="shared" si="1"/>
        <v>1</v>
      </c>
      <c r="Q12" s="15">
        <f>IFERROR(INDEX(ENEMY_HP_CURVE!$B$4:$B$53,B12),0)</f>
        <v>5159.7803519999998</v>
      </c>
      <c r="R12" s="15" t="str">
        <f t="shared" si="2"/>
        <v/>
      </c>
      <c r="S12" s="15" t="str">
        <f>IF(R12="","",VLOOKUP("TargetTTK_Normal",BALANCE_INPUTS!$B$4:$C$18,2,FALSE)/R12)</f>
        <v/>
      </c>
    </row>
    <row r="13" spans="1:19" x14ac:dyDescent="0.3">
      <c r="A13" t="s">
        <v>1776</v>
      </c>
      <c r="B13" s="14">
        <v>10</v>
      </c>
      <c r="D13" t="str">
        <f>IFERROR(VLOOKUP(C13,SKILL_DPS_BUDGET!$A$4:$N$58,2,FALSE),"")</f>
        <v/>
      </c>
      <c r="E13" s="15">
        <f>IFERROR(VLOOKUP(C13,SKILL_DPS_BUDGET!$A$4:$N$58,9,FALSE),0)</f>
        <v>0</v>
      </c>
      <c r="F13" s="15"/>
      <c r="G13" s="15">
        <f>IF(F13="",1,IFERROR(VLOOKUP(F13,SUPPORT_MODIFIER_CALC!$A$4:$K$70,5,FALSE),1))</f>
        <v>1</v>
      </c>
      <c r="H13" s="15">
        <f>IF(F13="",1,IFERROR(VLOOKUP(F13,SUPPORT_MODIFIER_CALC!$A$4:$K$70,6,FALSE),1))</f>
        <v>1</v>
      </c>
      <c r="I13" s="15"/>
      <c r="J13" s="15">
        <f>IF(I13="",1,IFERROR(VLOOKUP(I13,SUPPORT_MODIFIER_CALC!$A$4:$K$70,5,FALSE),1))</f>
        <v>1</v>
      </c>
      <c r="K13" s="15">
        <f>IF(I13="",1,IFERROR(VLOOKUP(I13,SUPPORT_MODIFIER_CALC!$A$4:$K$70,6,FALSE),1))</f>
        <v>1</v>
      </c>
      <c r="L13" s="15"/>
      <c r="M13" s="15">
        <f>IF(L13="",1,IFERROR(VLOOKUP(L13,SUPPORT_MODIFIER_CALC!$A$4:$K$70,5,FALSE),1))</f>
        <v>1</v>
      </c>
      <c r="N13" s="15">
        <f>IF(L13="",1,IFERROR(VLOOKUP(L13,SUPPORT_MODIFIER_CALC!$A$4:$K$70,6,FALSE),1))</f>
        <v>1</v>
      </c>
      <c r="O13" s="15">
        <f t="shared" si="0"/>
        <v>0</v>
      </c>
      <c r="P13" s="15">
        <f t="shared" si="1"/>
        <v>1</v>
      </c>
      <c r="Q13" s="15">
        <f>IFERROR(INDEX(ENEMY_HP_CURVE!$B$4:$B$53,B13),0)</f>
        <v>5159.7803519999998</v>
      </c>
      <c r="R13" s="15" t="str">
        <f t="shared" si="2"/>
        <v/>
      </c>
      <c r="S13" s="15" t="str">
        <f>IF(R13="","",VLOOKUP("TargetTTK_Normal",BALANCE_INPUTS!$B$4:$C$18,2,FALSE)/R13)</f>
        <v/>
      </c>
    </row>
    <row r="14" spans="1:19" x14ac:dyDescent="0.3">
      <c r="A14" t="s">
        <v>1777</v>
      </c>
      <c r="B14" s="14">
        <v>10</v>
      </c>
      <c r="D14" t="str">
        <f>IFERROR(VLOOKUP(C14,SKILL_DPS_BUDGET!$A$4:$N$58,2,FALSE),"")</f>
        <v/>
      </c>
      <c r="E14" s="15">
        <f>IFERROR(VLOOKUP(C14,SKILL_DPS_BUDGET!$A$4:$N$58,9,FALSE),0)</f>
        <v>0</v>
      </c>
      <c r="F14" s="15"/>
      <c r="G14" s="15">
        <f>IF(F14="",1,IFERROR(VLOOKUP(F14,SUPPORT_MODIFIER_CALC!$A$4:$K$70,5,FALSE),1))</f>
        <v>1</v>
      </c>
      <c r="H14" s="15">
        <f>IF(F14="",1,IFERROR(VLOOKUP(F14,SUPPORT_MODIFIER_CALC!$A$4:$K$70,6,FALSE),1))</f>
        <v>1</v>
      </c>
      <c r="I14" s="15"/>
      <c r="J14" s="15">
        <f>IF(I14="",1,IFERROR(VLOOKUP(I14,SUPPORT_MODIFIER_CALC!$A$4:$K$70,5,FALSE),1))</f>
        <v>1</v>
      </c>
      <c r="K14" s="15">
        <f>IF(I14="",1,IFERROR(VLOOKUP(I14,SUPPORT_MODIFIER_CALC!$A$4:$K$70,6,FALSE),1))</f>
        <v>1</v>
      </c>
      <c r="L14" s="15"/>
      <c r="M14" s="15">
        <f>IF(L14="",1,IFERROR(VLOOKUP(L14,SUPPORT_MODIFIER_CALC!$A$4:$K$70,5,FALSE),1))</f>
        <v>1</v>
      </c>
      <c r="N14" s="15">
        <f>IF(L14="",1,IFERROR(VLOOKUP(L14,SUPPORT_MODIFIER_CALC!$A$4:$K$70,6,FALSE),1))</f>
        <v>1</v>
      </c>
      <c r="O14" s="15">
        <f t="shared" si="0"/>
        <v>0</v>
      </c>
      <c r="P14" s="15">
        <f t="shared" si="1"/>
        <v>1</v>
      </c>
      <c r="Q14" s="15">
        <f>IFERROR(INDEX(ENEMY_HP_CURVE!$B$4:$B$53,B14),0)</f>
        <v>5159.7803519999998</v>
      </c>
      <c r="R14" s="15" t="str">
        <f t="shared" si="2"/>
        <v/>
      </c>
      <c r="S14" s="15" t="str">
        <f>IF(R14="","",VLOOKUP("TargetTTK_Normal",BALANCE_INPUTS!$B$4:$C$18,2,FALSE)/R14)</f>
        <v/>
      </c>
    </row>
    <row r="15" spans="1:19" x14ac:dyDescent="0.3">
      <c r="A15" t="s">
        <v>1778</v>
      </c>
      <c r="B15" s="14">
        <v>10</v>
      </c>
      <c r="D15" t="str">
        <f>IFERROR(VLOOKUP(C15,SKILL_DPS_BUDGET!$A$4:$N$58,2,FALSE),"")</f>
        <v/>
      </c>
      <c r="E15" s="15">
        <f>IFERROR(VLOOKUP(C15,SKILL_DPS_BUDGET!$A$4:$N$58,9,FALSE),0)</f>
        <v>0</v>
      </c>
      <c r="F15" s="15"/>
      <c r="G15" s="15">
        <f>IF(F15="",1,IFERROR(VLOOKUP(F15,SUPPORT_MODIFIER_CALC!$A$4:$K$70,5,FALSE),1))</f>
        <v>1</v>
      </c>
      <c r="H15" s="15">
        <f>IF(F15="",1,IFERROR(VLOOKUP(F15,SUPPORT_MODIFIER_CALC!$A$4:$K$70,6,FALSE),1))</f>
        <v>1</v>
      </c>
      <c r="I15" s="15"/>
      <c r="J15" s="15">
        <f>IF(I15="",1,IFERROR(VLOOKUP(I15,SUPPORT_MODIFIER_CALC!$A$4:$K$70,5,FALSE),1))</f>
        <v>1</v>
      </c>
      <c r="K15" s="15">
        <f>IF(I15="",1,IFERROR(VLOOKUP(I15,SUPPORT_MODIFIER_CALC!$A$4:$K$70,6,FALSE),1))</f>
        <v>1</v>
      </c>
      <c r="L15" s="15"/>
      <c r="M15" s="15">
        <f>IF(L15="",1,IFERROR(VLOOKUP(L15,SUPPORT_MODIFIER_CALC!$A$4:$K$70,5,FALSE),1))</f>
        <v>1</v>
      </c>
      <c r="N15" s="15">
        <f>IF(L15="",1,IFERROR(VLOOKUP(L15,SUPPORT_MODIFIER_CALC!$A$4:$K$70,6,FALSE),1))</f>
        <v>1</v>
      </c>
      <c r="O15" s="15">
        <f t="shared" si="0"/>
        <v>0</v>
      </c>
      <c r="P15" s="15">
        <f t="shared" si="1"/>
        <v>1</v>
      </c>
      <c r="Q15" s="15">
        <f>IFERROR(INDEX(ENEMY_HP_CURVE!$B$4:$B$53,B15),0)</f>
        <v>5159.7803519999998</v>
      </c>
      <c r="R15" s="15" t="str">
        <f t="shared" si="2"/>
        <v/>
      </c>
      <c r="S15" s="15" t="str">
        <f>IF(R15="","",VLOOKUP("TargetTTK_Normal",BALANCE_INPUTS!$B$4:$C$18,2,FALSE)/R15)</f>
        <v/>
      </c>
    </row>
    <row r="16" spans="1:19" x14ac:dyDescent="0.3">
      <c r="A16" t="s">
        <v>1779</v>
      </c>
      <c r="B16" s="14">
        <v>10</v>
      </c>
      <c r="D16" t="str">
        <f>IFERROR(VLOOKUP(C16,SKILL_DPS_BUDGET!$A$4:$N$58,2,FALSE),"")</f>
        <v/>
      </c>
      <c r="E16" s="15">
        <f>IFERROR(VLOOKUP(C16,SKILL_DPS_BUDGET!$A$4:$N$58,9,FALSE),0)</f>
        <v>0</v>
      </c>
      <c r="F16" s="15"/>
      <c r="G16" s="15">
        <f>IF(F16="",1,IFERROR(VLOOKUP(F16,SUPPORT_MODIFIER_CALC!$A$4:$K$70,5,FALSE),1))</f>
        <v>1</v>
      </c>
      <c r="H16" s="15">
        <f>IF(F16="",1,IFERROR(VLOOKUP(F16,SUPPORT_MODIFIER_CALC!$A$4:$K$70,6,FALSE),1))</f>
        <v>1</v>
      </c>
      <c r="I16" s="15"/>
      <c r="J16" s="15">
        <f>IF(I16="",1,IFERROR(VLOOKUP(I16,SUPPORT_MODIFIER_CALC!$A$4:$K$70,5,FALSE),1))</f>
        <v>1</v>
      </c>
      <c r="K16" s="15">
        <f>IF(I16="",1,IFERROR(VLOOKUP(I16,SUPPORT_MODIFIER_CALC!$A$4:$K$70,6,FALSE),1))</f>
        <v>1</v>
      </c>
      <c r="L16" s="15"/>
      <c r="M16" s="15">
        <f>IF(L16="",1,IFERROR(VLOOKUP(L16,SUPPORT_MODIFIER_CALC!$A$4:$K$70,5,FALSE),1))</f>
        <v>1</v>
      </c>
      <c r="N16" s="15">
        <f>IF(L16="",1,IFERROR(VLOOKUP(L16,SUPPORT_MODIFIER_CALC!$A$4:$K$70,6,FALSE),1))</f>
        <v>1</v>
      </c>
      <c r="O16" s="15">
        <f t="shared" si="0"/>
        <v>0</v>
      </c>
      <c r="P16" s="15">
        <f t="shared" si="1"/>
        <v>1</v>
      </c>
      <c r="Q16" s="15">
        <f>IFERROR(INDEX(ENEMY_HP_CURVE!$B$4:$B$53,B16),0)</f>
        <v>5159.7803519999998</v>
      </c>
      <c r="R16" s="15" t="str">
        <f t="shared" si="2"/>
        <v/>
      </c>
      <c r="S16" s="15" t="str">
        <f>IF(R16="","",VLOOKUP("TargetTTK_Normal",BALANCE_INPUTS!$B$4:$C$18,2,FALSE)/R16)</f>
        <v/>
      </c>
    </row>
    <row r="17" spans="1:19" x14ac:dyDescent="0.3">
      <c r="A17" t="s">
        <v>1780</v>
      </c>
      <c r="B17" s="14">
        <v>10</v>
      </c>
      <c r="D17" t="str">
        <f>IFERROR(VLOOKUP(C17,SKILL_DPS_BUDGET!$A$4:$N$58,2,FALSE),"")</f>
        <v/>
      </c>
      <c r="E17" s="15">
        <f>IFERROR(VLOOKUP(C17,SKILL_DPS_BUDGET!$A$4:$N$58,9,FALSE),0)</f>
        <v>0</v>
      </c>
      <c r="F17" s="15"/>
      <c r="G17" s="15">
        <f>IF(F17="",1,IFERROR(VLOOKUP(F17,SUPPORT_MODIFIER_CALC!$A$4:$K$70,5,FALSE),1))</f>
        <v>1</v>
      </c>
      <c r="H17" s="15">
        <f>IF(F17="",1,IFERROR(VLOOKUP(F17,SUPPORT_MODIFIER_CALC!$A$4:$K$70,6,FALSE),1))</f>
        <v>1</v>
      </c>
      <c r="I17" s="15"/>
      <c r="J17" s="15">
        <f>IF(I17="",1,IFERROR(VLOOKUP(I17,SUPPORT_MODIFIER_CALC!$A$4:$K$70,5,FALSE),1))</f>
        <v>1</v>
      </c>
      <c r="K17" s="15">
        <f>IF(I17="",1,IFERROR(VLOOKUP(I17,SUPPORT_MODIFIER_CALC!$A$4:$K$70,6,FALSE),1))</f>
        <v>1</v>
      </c>
      <c r="L17" s="15"/>
      <c r="M17" s="15">
        <f>IF(L17="",1,IFERROR(VLOOKUP(L17,SUPPORT_MODIFIER_CALC!$A$4:$K$70,5,FALSE),1))</f>
        <v>1</v>
      </c>
      <c r="N17" s="15">
        <f>IF(L17="",1,IFERROR(VLOOKUP(L17,SUPPORT_MODIFIER_CALC!$A$4:$K$70,6,FALSE),1))</f>
        <v>1</v>
      </c>
      <c r="O17" s="15">
        <f t="shared" si="0"/>
        <v>0</v>
      </c>
      <c r="P17" s="15">
        <f t="shared" si="1"/>
        <v>1</v>
      </c>
      <c r="Q17" s="15">
        <f>IFERROR(INDEX(ENEMY_HP_CURVE!$B$4:$B$53,B17),0)</f>
        <v>5159.7803519999998</v>
      </c>
      <c r="R17" s="15" t="str">
        <f t="shared" si="2"/>
        <v/>
      </c>
      <c r="S17" s="15" t="str">
        <f>IF(R17="","",VLOOKUP("TargetTTK_Normal",BALANCE_INPUTS!$B$4:$C$18,2,FALSE)/R17)</f>
        <v/>
      </c>
    </row>
    <row r="18" spans="1:19" x14ac:dyDescent="0.3">
      <c r="A18" t="s">
        <v>1781</v>
      </c>
      <c r="B18" s="14">
        <v>10</v>
      </c>
      <c r="D18" t="str">
        <f>IFERROR(VLOOKUP(C18,SKILL_DPS_BUDGET!$A$4:$N$58,2,FALSE),"")</f>
        <v/>
      </c>
      <c r="E18" s="15">
        <f>IFERROR(VLOOKUP(C18,SKILL_DPS_BUDGET!$A$4:$N$58,9,FALSE),0)</f>
        <v>0</v>
      </c>
      <c r="F18" s="15"/>
      <c r="G18" s="15">
        <f>IF(F18="",1,IFERROR(VLOOKUP(F18,SUPPORT_MODIFIER_CALC!$A$4:$K$70,5,FALSE),1))</f>
        <v>1</v>
      </c>
      <c r="H18" s="15">
        <f>IF(F18="",1,IFERROR(VLOOKUP(F18,SUPPORT_MODIFIER_CALC!$A$4:$K$70,6,FALSE),1))</f>
        <v>1</v>
      </c>
      <c r="I18" s="15"/>
      <c r="J18" s="15">
        <f>IF(I18="",1,IFERROR(VLOOKUP(I18,SUPPORT_MODIFIER_CALC!$A$4:$K$70,5,FALSE),1))</f>
        <v>1</v>
      </c>
      <c r="K18" s="15">
        <f>IF(I18="",1,IFERROR(VLOOKUP(I18,SUPPORT_MODIFIER_CALC!$A$4:$K$70,6,FALSE),1))</f>
        <v>1</v>
      </c>
      <c r="L18" s="15"/>
      <c r="M18" s="15">
        <f>IF(L18="",1,IFERROR(VLOOKUP(L18,SUPPORT_MODIFIER_CALC!$A$4:$K$70,5,FALSE),1))</f>
        <v>1</v>
      </c>
      <c r="N18" s="15">
        <f>IF(L18="",1,IFERROR(VLOOKUP(L18,SUPPORT_MODIFIER_CALC!$A$4:$K$70,6,FALSE),1))</f>
        <v>1</v>
      </c>
      <c r="O18" s="15">
        <f t="shared" si="0"/>
        <v>0</v>
      </c>
      <c r="P18" s="15">
        <f t="shared" si="1"/>
        <v>1</v>
      </c>
      <c r="Q18" s="15">
        <f>IFERROR(INDEX(ENEMY_HP_CURVE!$B$4:$B$53,B18),0)</f>
        <v>5159.7803519999998</v>
      </c>
      <c r="R18" s="15" t="str">
        <f t="shared" si="2"/>
        <v/>
      </c>
      <c r="S18" s="15" t="str">
        <f>IF(R18="","",VLOOKUP("TargetTTK_Normal",BALANCE_INPUTS!$B$4:$C$18,2,FALSE)/R18)</f>
        <v/>
      </c>
    </row>
    <row r="19" spans="1:19" x14ac:dyDescent="0.3">
      <c r="A19" t="s">
        <v>1782</v>
      </c>
      <c r="B19" s="14">
        <v>10</v>
      </c>
      <c r="D19" t="str">
        <f>IFERROR(VLOOKUP(C19,SKILL_DPS_BUDGET!$A$4:$N$58,2,FALSE),"")</f>
        <v/>
      </c>
      <c r="E19" s="15">
        <f>IFERROR(VLOOKUP(C19,SKILL_DPS_BUDGET!$A$4:$N$58,9,FALSE),0)</f>
        <v>0</v>
      </c>
      <c r="F19" s="15"/>
      <c r="G19" s="15">
        <f>IF(F19="",1,IFERROR(VLOOKUP(F19,SUPPORT_MODIFIER_CALC!$A$4:$K$70,5,FALSE),1))</f>
        <v>1</v>
      </c>
      <c r="H19" s="15">
        <f>IF(F19="",1,IFERROR(VLOOKUP(F19,SUPPORT_MODIFIER_CALC!$A$4:$K$70,6,FALSE),1))</f>
        <v>1</v>
      </c>
      <c r="I19" s="15"/>
      <c r="J19" s="15">
        <f>IF(I19="",1,IFERROR(VLOOKUP(I19,SUPPORT_MODIFIER_CALC!$A$4:$K$70,5,FALSE),1))</f>
        <v>1</v>
      </c>
      <c r="K19" s="15">
        <f>IF(I19="",1,IFERROR(VLOOKUP(I19,SUPPORT_MODIFIER_CALC!$A$4:$K$70,6,FALSE),1))</f>
        <v>1</v>
      </c>
      <c r="L19" s="15"/>
      <c r="M19" s="15">
        <f>IF(L19="",1,IFERROR(VLOOKUP(L19,SUPPORT_MODIFIER_CALC!$A$4:$K$70,5,FALSE),1))</f>
        <v>1</v>
      </c>
      <c r="N19" s="15">
        <f>IF(L19="",1,IFERROR(VLOOKUP(L19,SUPPORT_MODIFIER_CALC!$A$4:$K$70,6,FALSE),1))</f>
        <v>1</v>
      </c>
      <c r="O19" s="15">
        <f t="shared" si="0"/>
        <v>0</v>
      </c>
      <c r="P19" s="15">
        <f t="shared" si="1"/>
        <v>1</v>
      </c>
      <c r="Q19" s="15">
        <f>IFERROR(INDEX(ENEMY_HP_CURVE!$B$4:$B$53,B19),0)</f>
        <v>5159.7803519999998</v>
      </c>
      <c r="R19" s="15" t="str">
        <f t="shared" si="2"/>
        <v/>
      </c>
      <c r="S19" s="15" t="str">
        <f>IF(R19="","",VLOOKUP("TargetTTK_Normal",BALANCE_INPUTS!$B$4:$C$18,2,FALSE)/R19)</f>
        <v/>
      </c>
    </row>
    <row r="20" spans="1:19" x14ac:dyDescent="0.3">
      <c r="A20" t="s">
        <v>1783</v>
      </c>
      <c r="B20" s="14">
        <v>10</v>
      </c>
      <c r="D20" t="str">
        <f>IFERROR(VLOOKUP(C20,SKILL_DPS_BUDGET!$A$4:$N$58,2,FALSE),"")</f>
        <v/>
      </c>
      <c r="E20" s="15">
        <f>IFERROR(VLOOKUP(C20,SKILL_DPS_BUDGET!$A$4:$N$58,9,FALSE),0)</f>
        <v>0</v>
      </c>
      <c r="F20" s="15"/>
      <c r="G20" s="15">
        <f>IF(F20="",1,IFERROR(VLOOKUP(F20,SUPPORT_MODIFIER_CALC!$A$4:$K$70,5,FALSE),1))</f>
        <v>1</v>
      </c>
      <c r="H20" s="15">
        <f>IF(F20="",1,IFERROR(VLOOKUP(F20,SUPPORT_MODIFIER_CALC!$A$4:$K$70,6,FALSE),1))</f>
        <v>1</v>
      </c>
      <c r="I20" s="15"/>
      <c r="J20" s="15">
        <f>IF(I20="",1,IFERROR(VLOOKUP(I20,SUPPORT_MODIFIER_CALC!$A$4:$K$70,5,FALSE),1))</f>
        <v>1</v>
      </c>
      <c r="K20" s="15">
        <f>IF(I20="",1,IFERROR(VLOOKUP(I20,SUPPORT_MODIFIER_CALC!$A$4:$K$70,6,FALSE),1))</f>
        <v>1</v>
      </c>
      <c r="L20" s="15"/>
      <c r="M20" s="15">
        <f>IF(L20="",1,IFERROR(VLOOKUP(L20,SUPPORT_MODIFIER_CALC!$A$4:$K$70,5,FALSE),1))</f>
        <v>1</v>
      </c>
      <c r="N20" s="15">
        <f>IF(L20="",1,IFERROR(VLOOKUP(L20,SUPPORT_MODIFIER_CALC!$A$4:$K$70,6,FALSE),1))</f>
        <v>1</v>
      </c>
      <c r="O20" s="15">
        <f t="shared" si="0"/>
        <v>0</v>
      </c>
      <c r="P20" s="15">
        <f t="shared" si="1"/>
        <v>1</v>
      </c>
      <c r="Q20" s="15">
        <f>IFERROR(INDEX(ENEMY_HP_CURVE!$B$4:$B$53,B20),0)</f>
        <v>5159.7803519999998</v>
      </c>
      <c r="R20" s="15" t="str">
        <f t="shared" si="2"/>
        <v/>
      </c>
      <c r="S20" s="15" t="str">
        <f>IF(R20="","",VLOOKUP("TargetTTK_Normal",BALANCE_INPUTS!$B$4:$C$18,2,FALSE)/R20)</f>
        <v/>
      </c>
    </row>
    <row r="21" spans="1:19" x14ac:dyDescent="0.3">
      <c r="A21" t="s">
        <v>1784</v>
      </c>
      <c r="B21" s="14">
        <v>10</v>
      </c>
      <c r="D21" t="str">
        <f>IFERROR(VLOOKUP(C21,SKILL_DPS_BUDGET!$A$4:$N$58,2,FALSE),"")</f>
        <v/>
      </c>
      <c r="E21" s="15">
        <f>IFERROR(VLOOKUP(C21,SKILL_DPS_BUDGET!$A$4:$N$58,9,FALSE),0)</f>
        <v>0</v>
      </c>
      <c r="F21" s="15"/>
      <c r="G21" s="15">
        <f>IF(F21="",1,IFERROR(VLOOKUP(F21,SUPPORT_MODIFIER_CALC!$A$4:$K$70,5,FALSE),1))</f>
        <v>1</v>
      </c>
      <c r="H21" s="15">
        <f>IF(F21="",1,IFERROR(VLOOKUP(F21,SUPPORT_MODIFIER_CALC!$A$4:$K$70,6,FALSE),1))</f>
        <v>1</v>
      </c>
      <c r="I21" s="15"/>
      <c r="J21" s="15">
        <f>IF(I21="",1,IFERROR(VLOOKUP(I21,SUPPORT_MODIFIER_CALC!$A$4:$K$70,5,FALSE),1))</f>
        <v>1</v>
      </c>
      <c r="K21" s="15">
        <f>IF(I21="",1,IFERROR(VLOOKUP(I21,SUPPORT_MODIFIER_CALC!$A$4:$K$70,6,FALSE),1))</f>
        <v>1</v>
      </c>
      <c r="L21" s="15"/>
      <c r="M21" s="15">
        <f>IF(L21="",1,IFERROR(VLOOKUP(L21,SUPPORT_MODIFIER_CALC!$A$4:$K$70,5,FALSE),1))</f>
        <v>1</v>
      </c>
      <c r="N21" s="15">
        <f>IF(L21="",1,IFERROR(VLOOKUP(L21,SUPPORT_MODIFIER_CALC!$A$4:$K$70,6,FALSE),1))</f>
        <v>1</v>
      </c>
      <c r="O21" s="15">
        <f t="shared" si="0"/>
        <v>0</v>
      </c>
      <c r="P21" s="15">
        <f t="shared" si="1"/>
        <v>1</v>
      </c>
      <c r="Q21" s="15">
        <f>IFERROR(INDEX(ENEMY_HP_CURVE!$B$4:$B$53,B21),0)</f>
        <v>5159.7803519999998</v>
      </c>
      <c r="R21" s="15" t="str">
        <f t="shared" si="2"/>
        <v/>
      </c>
      <c r="S21" s="15" t="str">
        <f>IF(R21="","",VLOOKUP("TargetTTK_Normal",BALANCE_INPUTS!$B$4:$C$18,2,FALSE)/R21)</f>
        <v/>
      </c>
    </row>
    <row r="22" spans="1:19" x14ac:dyDescent="0.3">
      <c r="A22" t="s">
        <v>1785</v>
      </c>
      <c r="B22" s="14">
        <v>10</v>
      </c>
      <c r="D22" t="str">
        <f>IFERROR(VLOOKUP(C22,SKILL_DPS_BUDGET!$A$4:$N$58,2,FALSE),"")</f>
        <v/>
      </c>
      <c r="E22" s="15">
        <f>IFERROR(VLOOKUP(C22,SKILL_DPS_BUDGET!$A$4:$N$58,9,FALSE),0)</f>
        <v>0</v>
      </c>
      <c r="F22" s="15"/>
      <c r="G22" s="15">
        <f>IF(F22="",1,IFERROR(VLOOKUP(F22,SUPPORT_MODIFIER_CALC!$A$4:$K$70,5,FALSE),1))</f>
        <v>1</v>
      </c>
      <c r="H22" s="15">
        <f>IF(F22="",1,IFERROR(VLOOKUP(F22,SUPPORT_MODIFIER_CALC!$A$4:$K$70,6,FALSE),1))</f>
        <v>1</v>
      </c>
      <c r="I22" s="15"/>
      <c r="J22" s="15">
        <f>IF(I22="",1,IFERROR(VLOOKUP(I22,SUPPORT_MODIFIER_CALC!$A$4:$K$70,5,FALSE),1))</f>
        <v>1</v>
      </c>
      <c r="K22" s="15">
        <f>IF(I22="",1,IFERROR(VLOOKUP(I22,SUPPORT_MODIFIER_CALC!$A$4:$K$70,6,FALSE),1))</f>
        <v>1</v>
      </c>
      <c r="L22" s="15"/>
      <c r="M22" s="15">
        <f>IF(L22="",1,IFERROR(VLOOKUP(L22,SUPPORT_MODIFIER_CALC!$A$4:$K$70,5,FALSE),1))</f>
        <v>1</v>
      </c>
      <c r="N22" s="15">
        <f>IF(L22="",1,IFERROR(VLOOKUP(L22,SUPPORT_MODIFIER_CALC!$A$4:$K$70,6,FALSE),1))</f>
        <v>1</v>
      </c>
      <c r="O22" s="15">
        <f t="shared" si="0"/>
        <v>0</v>
      </c>
      <c r="P22" s="15">
        <f t="shared" si="1"/>
        <v>1</v>
      </c>
      <c r="Q22" s="15">
        <f>IFERROR(INDEX(ENEMY_HP_CURVE!$B$4:$B$53,B22),0)</f>
        <v>5159.7803519999998</v>
      </c>
      <c r="R22" s="15" t="str">
        <f t="shared" si="2"/>
        <v/>
      </c>
      <c r="S22" s="15" t="str">
        <f>IF(R22="","",VLOOKUP("TargetTTK_Normal",BALANCE_INPUTS!$B$4:$C$18,2,FALSE)/R22)</f>
        <v/>
      </c>
    </row>
    <row r="23" spans="1:19" x14ac:dyDescent="0.3">
      <c r="A23" t="s">
        <v>1786</v>
      </c>
      <c r="B23" s="14">
        <v>10</v>
      </c>
      <c r="D23" t="str">
        <f>IFERROR(VLOOKUP(C23,SKILL_DPS_BUDGET!$A$4:$N$58,2,FALSE),"")</f>
        <v/>
      </c>
      <c r="E23" s="15">
        <f>IFERROR(VLOOKUP(C23,SKILL_DPS_BUDGET!$A$4:$N$58,9,FALSE),0)</f>
        <v>0</v>
      </c>
      <c r="F23" s="15"/>
      <c r="G23" s="15">
        <f>IF(F23="",1,IFERROR(VLOOKUP(F23,SUPPORT_MODIFIER_CALC!$A$4:$K$70,5,FALSE),1))</f>
        <v>1</v>
      </c>
      <c r="H23" s="15">
        <f>IF(F23="",1,IFERROR(VLOOKUP(F23,SUPPORT_MODIFIER_CALC!$A$4:$K$70,6,FALSE),1))</f>
        <v>1</v>
      </c>
      <c r="I23" s="15"/>
      <c r="J23" s="15">
        <f>IF(I23="",1,IFERROR(VLOOKUP(I23,SUPPORT_MODIFIER_CALC!$A$4:$K$70,5,FALSE),1))</f>
        <v>1</v>
      </c>
      <c r="K23" s="15">
        <f>IF(I23="",1,IFERROR(VLOOKUP(I23,SUPPORT_MODIFIER_CALC!$A$4:$K$70,6,FALSE),1))</f>
        <v>1</v>
      </c>
      <c r="L23" s="15"/>
      <c r="M23" s="15">
        <f>IF(L23="",1,IFERROR(VLOOKUP(L23,SUPPORT_MODIFIER_CALC!$A$4:$K$70,5,FALSE),1))</f>
        <v>1</v>
      </c>
      <c r="N23" s="15">
        <f>IF(L23="",1,IFERROR(VLOOKUP(L23,SUPPORT_MODIFIER_CALC!$A$4:$K$70,6,FALSE),1))</f>
        <v>1</v>
      </c>
      <c r="O23" s="15">
        <f t="shared" si="0"/>
        <v>0</v>
      </c>
      <c r="P23" s="15">
        <f t="shared" si="1"/>
        <v>1</v>
      </c>
      <c r="Q23" s="15">
        <f>IFERROR(INDEX(ENEMY_HP_CURVE!$B$4:$B$53,B23),0)</f>
        <v>5159.7803519999998</v>
      </c>
      <c r="R23" s="15" t="str">
        <f t="shared" si="2"/>
        <v/>
      </c>
      <c r="S23" s="15" t="str">
        <f>IF(R23="","",VLOOKUP("TargetTTK_Normal",BALANCE_INPUTS!$B$4:$C$18,2,FALSE)/R23)</f>
        <v/>
      </c>
    </row>
    <row r="24" spans="1:19" x14ac:dyDescent="0.3">
      <c r="A24" t="s">
        <v>1787</v>
      </c>
      <c r="B24" s="14">
        <v>10</v>
      </c>
      <c r="D24" t="str">
        <f>IFERROR(VLOOKUP(C24,SKILL_DPS_BUDGET!$A$4:$N$58,2,FALSE),"")</f>
        <v/>
      </c>
      <c r="E24" s="15">
        <f>IFERROR(VLOOKUP(C24,SKILL_DPS_BUDGET!$A$4:$N$58,9,FALSE),0)</f>
        <v>0</v>
      </c>
      <c r="F24" s="15"/>
      <c r="G24" s="15">
        <f>IF(F24="",1,IFERROR(VLOOKUP(F24,SUPPORT_MODIFIER_CALC!$A$4:$K$70,5,FALSE),1))</f>
        <v>1</v>
      </c>
      <c r="H24" s="15">
        <f>IF(F24="",1,IFERROR(VLOOKUP(F24,SUPPORT_MODIFIER_CALC!$A$4:$K$70,6,FALSE),1))</f>
        <v>1</v>
      </c>
      <c r="I24" s="15"/>
      <c r="J24" s="15">
        <f>IF(I24="",1,IFERROR(VLOOKUP(I24,SUPPORT_MODIFIER_CALC!$A$4:$K$70,5,FALSE),1))</f>
        <v>1</v>
      </c>
      <c r="K24" s="15">
        <f>IF(I24="",1,IFERROR(VLOOKUP(I24,SUPPORT_MODIFIER_CALC!$A$4:$K$70,6,FALSE),1))</f>
        <v>1</v>
      </c>
      <c r="L24" s="15"/>
      <c r="M24" s="15">
        <f>IF(L24="",1,IFERROR(VLOOKUP(L24,SUPPORT_MODIFIER_CALC!$A$4:$K$70,5,FALSE),1))</f>
        <v>1</v>
      </c>
      <c r="N24" s="15">
        <f>IF(L24="",1,IFERROR(VLOOKUP(L24,SUPPORT_MODIFIER_CALC!$A$4:$K$70,6,FALSE),1))</f>
        <v>1</v>
      </c>
      <c r="O24" s="15">
        <f t="shared" si="0"/>
        <v>0</v>
      </c>
      <c r="P24" s="15">
        <f t="shared" si="1"/>
        <v>1</v>
      </c>
      <c r="Q24" s="15">
        <f>IFERROR(INDEX(ENEMY_HP_CURVE!$B$4:$B$53,B24),0)</f>
        <v>5159.7803519999998</v>
      </c>
      <c r="R24" s="15" t="str">
        <f t="shared" si="2"/>
        <v/>
      </c>
      <c r="S24" s="15" t="str">
        <f>IF(R24="","",VLOOKUP("TargetTTK_Normal",BALANCE_INPUTS!$B$4:$C$18,2,FALSE)/R24)</f>
        <v/>
      </c>
    </row>
    <row r="25" spans="1:19" x14ac:dyDescent="0.3">
      <c r="A25" t="s">
        <v>1788</v>
      </c>
      <c r="B25" s="14">
        <v>10</v>
      </c>
      <c r="D25" t="str">
        <f>IFERROR(VLOOKUP(C25,SKILL_DPS_BUDGET!$A$4:$N$58,2,FALSE),"")</f>
        <v/>
      </c>
      <c r="E25" s="15">
        <f>IFERROR(VLOOKUP(C25,SKILL_DPS_BUDGET!$A$4:$N$58,9,FALSE),0)</f>
        <v>0</v>
      </c>
      <c r="F25" s="15"/>
      <c r="G25" s="15">
        <f>IF(F25="",1,IFERROR(VLOOKUP(F25,SUPPORT_MODIFIER_CALC!$A$4:$K$70,5,FALSE),1))</f>
        <v>1</v>
      </c>
      <c r="H25" s="15">
        <f>IF(F25="",1,IFERROR(VLOOKUP(F25,SUPPORT_MODIFIER_CALC!$A$4:$K$70,6,FALSE),1))</f>
        <v>1</v>
      </c>
      <c r="I25" s="15"/>
      <c r="J25" s="15">
        <f>IF(I25="",1,IFERROR(VLOOKUP(I25,SUPPORT_MODIFIER_CALC!$A$4:$K$70,5,FALSE),1))</f>
        <v>1</v>
      </c>
      <c r="K25" s="15">
        <f>IF(I25="",1,IFERROR(VLOOKUP(I25,SUPPORT_MODIFIER_CALC!$A$4:$K$70,6,FALSE),1))</f>
        <v>1</v>
      </c>
      <c r="L25" s="15"/>
      <c r="M25" s="15">
        <f>IF(L25="",1,IFERROR(VLOOKUP(L25,SUPPORT_MODIFIER_CALC!$A$4:$K$70,5,FALSE),1))</f>
        <v>1</v>
      </c>
      <c r="N25" s="15">
        <f>IF(L25="",1,IFERROR(VLOOKUP(L25,SUPPORT_MODIFIER_CALC!$A$4:$K$70,6,FALSE),1))</f>
        <v>1</v>
      </c>
      <c r="O25" s="15">
        <f t="shared" si="0"/>
        <v>0</v>
      </c>
      <c r="P25" s="15">
        <f t="shared" si="1"/>
        <v>1</v>
      </c>
      <c r="Q25" s="15">
        <f>IFERROR(INDEX(ENEMY_HP_CURVE!$B$4:$B$53,B25),0)</f>
        <v>5159.7803519999998</v>
      </c>
      <c r="R25" s="15" t="str">
        <f t="shared" si="2"/>
        <v/>
      </c>
      <c r="S25" s="15" t="str">
        <f>IF(R25="","",VLOOKUP("TargetTTK_Normal",BALANCE_INPUTS!$B$4:$C$18,2,FALSE)/R25)</f>
        <v/>
      </c>
    </row>
    <row r="26" spans="1:19" x14ac:dyDescent="0.3">
      <c r="A26" t="s">
        <v>1789</v>
      </c>
      <c r="B26" s="14">
        <v>10</v>
      </c>
      <c r="D26" t="str">
        <f>IFERROR(VLOOKUP(C26,SKILL_DPS_BUDGET!$A$4:$N$58,2,FALSE),"")</f>
        <v/>
      </c>
      <c r="E26" s="15">
        <f>IFERROR(VLOOKUP(C26,SKILL_DPS_BUDGET!$A$4:$N$58,9,FALSE),0)</f>
        <v>0</v>
      </c>
      <c r="F26" s="15"/>
      <c r="G26" s="15">
        <f>IF(F26="",1,IFERROR(VLOOKUP(F26,SUPPORT_MODIFIER_CALC!$A$4:$K$70,5,FALSE),1))</f>
        <v>1</v>
      </c>
      <c r="H26" s="15">
        <f>IF(F26="",1,IFERROR(VLOOKUP(F26,SUPPORT_MODIFIER_CALC!$A$4:$K$70,6,FALSE),1))</f>
        <v>1</v>
      </c>
      <c r="I26" s="15"/>
      <c r="J26" s="15">
        <f>IF(I26="",1,IFERROR(VLOOKUP(I26,SUPPORT_MODIFIER_CALC!$A$4:$K$70,5,FALSE),1))</f>
        <v>1</v>
      </c>
      <c r="K26" s="15">
        <f>IF(I26="",1,IFERROR(VLOOKUP(I26,SUPPORT_MODIFIER_CALC!$A$4:$K$70,6,FALSE),1))</f>
        <v>1</v>
      </c>
      <c r="L26" s="15"/>
      <c r="M26" s="15">
        <f>IF(L26="",1,IFERROR(VLOOKUP(L26,SUPPORT_MODIFIER_CALC!$A$4:$K$70,5,FALSE),1))</f>
        <v>1</v>
      </c>
      <c r="N26" s="15">
        <f>IF(L26="",1,IFERROR(VLOOKUP(L26,SUPPORT_MODIFIER_CALC!$A$4:$K$70,6,FALSE),1))</f>
        <v>1</v>
      </c>
      <c r="O26" s="15">
        <f t="shared" si="0"/>
        <v>0</v>
      </c>
      <c r="P26" s="15">
        <f t="shared" si="1"/>
        <v>1</v>
      </c>
      <c r="Q26" s="15">
        <f>IFERROR(INDEX(ENEMY_HP_CURVE!$B$4:$B$53,B26),0)</f>
        <v>5159.7803519999998</v>
      </c>
      <c r="R26" s="15" t="str">
        <f t="shared" si="2"/>
        <v/>
      </c>
      <c r="S26" s="15" t="str">
        <f>IF(R26="","",VLOOKUP("TargetTTK_Normal",BALANCE_INPUTS!$B$4:$C$18,2,FALSE)/R26)</f>
        <v/>
      </c>
    </row>
    <row r="27" spans="1:19" x14ac:dyDescent="0.3">
      <c r="A27" t="s">
        <v>1790</v>
      </c>
      <c r="B27" s="14">
        <v>10</v>
      </c>
      <c r="D27" t="str">
        <f>IFERROR(VLOOKUP(C27,SKILL_DPS_BUDGET!$A$4:$N$58,2,FALSE),"")</f>
        <v/>
      </c>
      <c r="E27" s="15">
        <f>IFERROR(VLOOKUP(C27,SKILL_DPS_BUDGET!$A$4:$N$58,9,FALSE),0)</f>
        <v>0</v>
      </c>
      <c r="F27" s="15"/>
      <c r="G27" s="15">
        <f>IF(F27="",1,IFERROR(VLOOKUP(F27,SUPPORT_MODIFIER_CALC!$A$4:$K$70,5,FALSE),1))</f>
        <v>1</v>
      </c>
      <c r="H27" s="15">
        <f>IF(F27="",1,IFERROR(VLOOKUP(F27,SUPPORT_MODIFIER_CALC!$A$4:$K$70,6,FALSE),1))</f>
        <v>1</v>
      </c>
      <c r="I27" s="15"/>
      <c r="J27" s="15">
        <f>IF(I27="",1,IFERROR(VLOOKUP(I27,SUPPORT_MODIFIER_CALC!$A$4:$K$70,5,FALSE),1))</f>
        <v>1</v>
      </c>
      <c r="K27" s="15">
        <f>IF(I27="",1,IFERROR(VLOOKUP(I27,SUPPORT_MODIFIER_CALC!$A$4:$K$70,6,FALSE),1))</f>
        <v>1</v>
      </c>
      <c r="L27" s="15"/>
      <c r="M27" s="15">
        <f>IF(L27="",1,IFERROR(VLOOKUP(L27,SUPPORT_MODIFIER_CALC!$A$4:$K$70,5,FALSE),1))</f>
        <v>1</v>
      </c>
      <c r="N27" s="15">
        <f>IF(L27="",1,IFERROR(VLOOKUP(L27,SUPPORT_MODIFIER_CALC!$A$4:$K$70,6,FALSE),1))</f>
        <v>1</v>
      </c>
      <c r="O27" s="15">
        <f t="shared" si="0"/>
        <v>0</v>
      </c>
      <c r="P27" s="15">
        <f t="shared" si="1"/>
        <v>1</v>
      </c>
      <c r="Q27" s="15">
        <f>IFERROR(INDEX(ENEMY_HP_CURVE!$B$4:$B$53,B27),0)</f>
        <v>5159.7803519999998</v>
      </c>
      <c r="R27" s="15" t="str">
        <f t="shared" si="2"/>
        <v/>
      </c>
      <c r="S27" s="15" t="str">
        <f>IF(R27="","",VLOOKUP("TargetTTK_Normal",BALANCE_INPUTS!$B$4:$C$18,2,FALSE)/R27)</f>
        <v/>
      </c>
    </row>
    <row r="28" spans="1:19" x14ac:dyDescent="0.3">
      <c r="A28" t="s">
        <v>1791</v>
      </c>
      <c r="B28" s="14">
        <v>10</v>
      </c>
      <c r="D28" t="str">
        <f>IFERROR(VLOOKUP(C28,SKILL_DPS_BUDGET!$A$4:$N$58,2,FALSE),"")</f>
        <v/>
      </c>
      <c r="E28" s="15">
        <f>IFERROR(VLOOKUP(C28,SKILL_DPS_BUDGET!$A$4:$N$58,9,FALSE),0)</f>
        <v>0</v>
      </c>
      <c r="F28" s="15"/>
      <c r="G28" s="15">
        <f>IF(F28="",1,IFERROR(VLOOKUP(F28,SUPPORT_MODIFIER_CALC!$A$4:$K$70,5,FALSE),1))</f>
        <v>1</v>
      </c>
      <c r="H28" s="15">
        <f>IF(F28="",1,IFERROR(VLOOKUP(F28,SUPPORT_MODIFIER_CALC!$A$4:$K$70,6,FALSE),1))</f>
        <v>1</v>
      </c>
      <c r="I28" s="15"/>
      <c r="J28" s="15">
        <f>IF(I28="",1,IFERROR(VLOOKUP(I28,SUPPORT_MODIFIER_CALC!$A$4:$K$70,5,FALSE),1))</f>
        <v>1</v>
      </c>
      <c r="K28" s="15">
        <f>IF(I28="",1,IFERROR(VLOOKUP(I28,SUPPORT_MODIFIER_CALC!$A$4:$K$70,6,FALSE),1))</f>
        <v>1</v>
      </c>
      <c r="L28" s="15"/>
      <c r="M28" s="15">
        <f>IF(L28="",1,IFERROR(VLOOKUP(L28,SUPPORT_MODIFIER_CALC!$A$4:$K$70,5,FALSE),1))</f>
        <v>1</v>
      </c>
      <c r="N28" s="15">
        <f>IF(L28="",1,IFERROR(VLOOKUP(L28,SUPPORT_MODIFIER_CALC!$A$4:$K$70,6,FALSE),1))</f>
        <v>1</v>
      </c>
      <c r="O28" s="15">
        <f t="shared" si="0"/>
        <v>0</v>
      </c>
      <c r="P28" s="15">
        <f t="shared" si="1"/>
        <v>1</v>
      </c>
      <c r="Q28" s="15">
        <f>IFERROR(INDEX(ENEMY_HP_CURVE!$B$4:$B$53,B28),0)</f>
        <v>5159.7803519999998</v>
      </c>
      <c r="R28" s="15" t="str">
        <f t="shared" si="2"/>
        <v/>
      </c>
      <c r="S28" s="15" t="str">
        <f>IF(R28="","",VLOOKUP("TargetTTK_Normal",BALANCE_INPUTS!$B$4:$C$18,2,FALSE)/R28)</f>
        <v/>
      </c>
    </row>
    <row r="29" spans="1:19" x14ac:dyDescent="0.3">
      <c r="A29" t="s">
        <v>1792</v>
      </c>
      <c r="B29" s="14">
        <v>10</v>
      </c>
      <c r="D29" t="str">
        <f>IFERROR(VLOOKUP(C29,SKILL_DPS_BUDGET!$A$4:$N$58,2,FALSE),"")</f>
        <v/>
      </c>
      <c r="E29" s="15">
        <f>IFERROR(VLOOKUP(C29,SKILL_DPS_BUDGET!$A$4:$N$58,9,FALSE),0)</f>
        <v>0</v>
      </c>
      <c r="F29" s="15"/>
      <c r="G29" s="15">
        <f>IF(F29="",1,IFERROR(VLOOKUP(F29,SUPPORT_MODIFIER_CALC!$A$4:$K$70,5,FALSE),1))</f>
        <v>1</v>
      </c>
      <c r="H29" s="15">
        <f>IF(F29="",1,IFERROR(VLOOKUP(F29,SUPPORT_MODIFIER_CALC!$A$4:$K$70,6,FALSE),1))</f>
        <v>1</v>
      </c>
      <c r="I29" s="15"/>
      <c r="J29" s="15">
        <f>IF(I29="",1,IFERROR(VLOOKUP(I29,SUPPORT_MODIFIER_CALC!$A$4:$K$70,5,FALSE),1))</f>
        <v>1</v>
      </c>
      <c r="K29" s="15">
        <f>IF(I29="",1,IFERROR(VLOOKUP(I29,SUPPORT_MODIFIER_CALC!$A$4:$K$70,6,FALSE),1))</f>
        <v>1</v>
      </c>
      <c r="L29" s="15"/>
      <c r="M29" s="15">
        <f>IF(L29="",1,IFERROR(VLOOKUP(L29,SUPPORT_MODIFIER_CALC!$A$4:$K$70,5,FALSE),1))</f>
        <v>1</v>
      </c>
      <c r="N29" s="15">
        <f>IF(L29="",1,IFERROR(VLOOKUP(L29,SUPPORT_MODIFIER_CALC!$A$4:$K$70,6,FALSE),1))</f>
        <v>1</v>
      </c>
      <c r="O29" s="15">
        <f t="shared" si="0"/>
        <v>0</v>
      </c>
      <c r="P29" s="15">
        <f t="shared" si="1"/>
        <v>1</v>
      </c>
      <c r="Q29" s="15">
        <f>IFERROR(INDEX(ENEMY_HP_CURVE!$B$4:$B$53,B29),0)</f>
        <v>5159.7803519999998</v>
      </c>
      <c r="R29" s="15" t="str">
        <f t="shared" si="2"/>
        <v/>
      </c>
      <c r="S29" s="15" t="str">
        <f>IF(R29="","",VLOOKUP("TargetTTK_Normal",BALANCE_INPUTS!$B$4:$C$18,2,FALSE)/R29)</f>
        <v/>
      </c>
    </row>
    <row r="30" spans="1:19" x14ac:dyDescent="0.3">
      <c r="A30" t="s">
        <v>1793</v>
      </c>
      <c r="B30" s="14">
        <v>10</v>
      </c>
      <c r="D30" t="str">
        <f>IFERROR(VLOOKUP(C30,SKILL_DPS_BUDGET!$A$4:$N$58,2,FALSE),"")</f>
        <v/>
      </c>
      <c r="E30" s="15">
        <f>IFERROR(VLOOKUP(C30,SKILL_DPS_BUDGET!$A$4:$N$58,9,FALSE),0)</f>
        <v>0</v>
      </c>
      <c r="F30" s="15"/>
      <c r="G30" s="15">
        <f>IF(F30="",1,IFERROR(VLOOKUP(F30,SUPPORT_MODIFIER_CALC!$A$4:$K$70,5,FALSE),1))</f>
        <v>1</v>
      </c>
      <c r="H30" s="15">
        <f>IF(F30="",1,IFERROR(VLOOKUP(F30,SUPPORT_MODIFIER_CALC!$A$4:$K$70,6,FALSE),1))</f>
        <v>1</v>
      </c>
      <c r="I30" s="15"/>
      <c r="J30" s="15">
        <f>IF(I30="",1,IFERROR(VLOOKUP(I30,SUPPORT_MODIFIER_CALC!$A$4:$K$70,5,FALSE),1))</f>
        <v>1</v>
      </c>
      <c r="K30" s="15">
        <f>IF(I30="",1,IFERROR(VLOOKUP(I30,SUPPORT_MODIFIER_CALC!$A$4:$K$70,6,FALSE),1))</f>
        <v>1</v>
      </c>
      <c r="L30" s="15"/>
      <c r="M30" s="15">
        <f>IF(L30="",1,IFERROR(VLOOKUP(L30,SUPPORT_MODIFIER_CALC!$A$4:$K$70,5,FALSE),1))</f>
        <v>1</v>
      </c>
      <c r="N30" s="15">
        <f>IF(L30="",1,IFERROR(VLOOKUP(L30,SUPPORT_MODIFIER_CALC!$A$4:$K$70,6,FALSE),1))</f>
        <v>1</v>
      </c>
      <c r="O30" s="15">
        <f t="shared" si="0"/>
        <v>0</v>
      </c>
      <c r="P30" s="15">
        <f t="shared" si="1"/>
        <v>1</v>
      </c>
      <c r="Q30" s="15">
        <f>IFERROR(INDEX(ENEMY_HP_CURVE!$B$4:$B$53,B30),0)</f>
        <v>5159.7803519999998</v>
      </c>
      <c r="R30" s="15" t="str">
        <f t="shared" si="2"/>
        <v/>
      </c>
      <c r="S30" s="15" t="str">
        <f>IF(R30="","",VLOOKUP("TargetTTK_Normal",BALANCE_INPUTS!$B$4:$C$18,2,FALSE)/R30)</f>
        <v/>
      </c>
    </row>
    <row r="31" spans="1:19" x14ac:dyDescent="0.3">
      <c r="A31" t="s">
        <v>1794</v>
      </c>
      <c r="B31" s="14">
        <v>10</v>
      </c>
      <c r="D31" t="str">
        <f>IFERROR(VLOOKUP(C31,SKILL_DPS_BUDGET!$A$4:$N$58,2,FALSE),"")</f>
        <v/>
      </c>
      <c r="E31" s="15">
        <f>IFERROR(VLOOKUP(C31,SKILL_DPS_BUDGET!$A$4:$N$58,9,FALSE),0)</f>
        <v>0</v>
      </c>
      <c r="F31" s="15"/>
      <c r="G31" s="15">
        <f>IF(F31="",1,IFERROR(VLOOKUP(F31,SUPPORT_MODIFIER_CALC!$A$4:$K$70,5,FALSE),1))</f>
        <v>1</v>
      </c>
      <c r="H31" s="15">
        <f>IF(F31="",1,IFERROR(VLOOKUP(F31,SUPPORT_MODIFIER_CALC!$A$4:$K$70,6,FALSE),1))</f>
        <v>1</v>
      </c>
      <c r="I31" s="15"/>
      <c r="J31" s="15">
        <f>IF(I31="",1,IFERROR(VLOOKUP(I31,SUPPORT_MODIFIER_CALC!$A$4:$K$70,5,FALSE),1))</f>
        <v>1</v>
      </c>
      <c r="K31" s="15">
        <f>IF(I31="",1,IFERROR(VLOOKUP(I31,SUPPORT_MODIFIER_CALC!$A$4:$K$70,6,FALSE),1))</f>
        <v>1</v>
      </c>
      <c r="L31" s="15"/>
      <c r="M31" s="15">
        <f>IF(L31="",1,IFERROR(VLOOKUP(L31,SUPPORT_MODIFIER_CALC!$A$4:$K$70,5,FALSE),1))</f>
        <v>1</v>
      </c>
      <c r="N31" s="15">
        <f>IF(L31="",1,IFERROR(VLOOKUP(L31,SUPPORT_MODIFIER_CALC!$A$4:$K$70,6,FALSE),1))</f>
        <v>1</v>
      </c>
      <c r="O31" s="15">
        <f t="shared" si="0"/>
        <v>0</v>
      </c>
      <c r="P31" s="15">
        <f t="shared" si="1"/>
        <v>1</v>
      </c>
      <c r="Q31" s="15">
        <f>IFERROR(INDEX(ENEMY_HP_CURVE!$B$4:$B$53,B31),0)</f>
        <v>5159.7803519999998</v>
      </c>
      <c r="R31" s="15" t="str">
        <f t="shared" si="2"/>
        <v/>
      </c>
      <c r="S31" s="15" t="str">
        <f>IF(R31="","",VLOOKUP("TargetTTK_Normal",BALANCE_INPUTS!$B$4:$C$18,2,FALSE)/R31)</f>
        <v/>
      </c>
    </row>
    <row r="32" spans="1:19" x14ac:dyDescent="0.3">
      <c r="A32" t="s">
        <v>1795</v>
      </c>
      <c r="B32" s="14">
        <v>10</v>
      </c>
      <c r="D32" t="str">
        <f>IFERROR(VLOOKUP(C32,SKILL_DPS_BUDGET!$A$4:$N$58,2,FALSE),"")</f>
        <v/>
      </c>
      <c r="E32" s="15">
        <f>IFERROR(VLOOKUP(C32,SKILL_DPS_BUDGET!$A$4:$N$58,9,FALSE),0)</f>
        <v>0</v>
      </c>
      <c r="F32" s="15"/>
      <c r="G32" s="15">
        <f>IF(F32="",1,IFERROR(VLOOKUP(F32,SUPPORT_MODIFIER_CALC!$A$4:$K$70,5,FALSE),1))</f>
        <v>1</v>
      </c>
      <c r="H32" s="15">
        <f>IF(F32="",1,IFERROR(VLOOKUP(F32,SUPPORT_MODIFIER_CALC!$A$4:$K$70,6,FALSE),1))</f>
        <v>1</v>
      </c>
      <c r="I32" s="15"/>
      <c r="J32" s="15">
        <f>IF(I32="",1,IFERROR(VLOOKUP(I32,SUPPORT_MODIFIER_CALC!$A$4:$K$70,5,FALSE),1))</f>
        <v>1</v>
      </c>
      <c r="K32" s="15">
        <f>IF(I32="",1,IFERROR(VLOOKUP(I32,SUPPORT_MODIFIER_CALC!$A$4:$K$70,6,FALSE),1))</f>
        <v>1</v>
      </c>
      <c r="L32" s="15"/>
      <c r="M32" s="15">
        <f>IF(L32="",1,IFERROR(VLOOKUP(L32,SUPPORT_MODIFIER_CALC!$A$4:$K$70,5,FALSE),1))</f>
        <v>1</v>
      </c>
      <c r="N32" s="15">
        <f>IF(L32="",1,IFERROR(VLOOKUP(L32,SUPPORT_MODIFIER_CALC!$A$4:$K$70,6,FALSE),1))</f>
        <v>1</v>
      </c>
      <c r="O32" s="15">
        <f t="shared" si="0"/>
        <v>0</v>
      </c>
      <c r="P32" s="15">
        <f t="shared" si="1"/>
        <v>1</v>
      </c>
      <c r="Q32" s="15">
        <f>IFERROR(INDEX(ENEMY_HP_CURVE!$B$4:$B$53,B32),0)</f>
        <v>5159.7803519999998</v>
      </c>
      <c r="R32" s="15" t="str">
        <f t="shared" si="2"/>
        <v/>
      </c>
      <c r="S32" s="15" t="str">
        <f>IF(R32="","",VLOOKUP("TargetTTK_Normal",BALANCE_INPUTS!$B$4:$C$18,2,FALSE)/R32)</f>
        <v/>
      </c>
    </row>
    <row r="33" spans="1:19" x14ac:dyDescent="0.3">
      <c r="A33" t="s">
        <v>1796</v>
      </c>
      <c r="B33" s="14">
        <v>10</v>
      </c>
      <c r="D33" t="str">
        <f>IFERROR(VLOOKUP(C33,SKILL_DPS_BUDGET!$A$4:$N$58,2,FALSE),"")</f>
        <v/>
      </c>
      <c r="E33" s="15">
        <f>IFERROR(VLOOKUP(C33,SKILL_DPS_BUDGET!$A$4:$N$58,9,FALSE),0)</f>
        <v>0</v>
      </c>
      <c r="F33" s="15"/>
      <c r="G33" s="15">
        <f>IF(F33="",1,IFERROR(VLOOKUP(F33,SUPPORT_MODIFIER_CALC!$A$4:$K$70,5,FALSE),1))</f>
        <v>1</v>
      </c>
      <c r="H33" s="15">
        <f>IF(F33="",1,IFERROR(VLOOKUP(F33,SUPPORT_MODIFIER_CALC!$A$4:$K$70,6,FALSE),1))</f>
        <v>1</v>
      </c>
      <c r="I33" s="15"/>
      <c r="J33" s="15">
        <f>IF(I33="",1,IFERROR(VLOOKUP(I33,SUPPORT_MODIFIER_CALC!$A$4:$K$70,5,FALSE),1))</f>
        <v>1</v>
      </c>
      <c r="K33" s="15">
        <f>IF(I33="",1,IFERROR(VLOOKUP(I33,SUPPORT_MODIFIER_CALC!$A$4:$K$70,6,FALSE),1))</f>
        <v>1</v>
      </c>
      <c r="L33" s="15"/>
      <c r="M33" s="15">
        <f>IF(L33="",1,IFERROR(VLOOKUP(L33,SUPPORT_MODIFIER_CALC!$A$4:$K$70,5,FALSE),1))</f>
        <v>1</v>
      </c>
      <c r="N33" s="15">
        <f>IF(L33="",1,IFERROR(VLOOKUP(L33,SUPPORT_MODIFIER_CALC!$A$4:$K$70,6,FALSE),1))</f>
        <v>1</v>
      </c>
      <c r="O33" s="15">
        <f t="shared" si="0"/>
        <v>0</v>
      </c>
      <c r="P33" s="15">
        <f t="shared" si="1"/>
        <v>1</v>
      </c>
      <c r="Q33" s="15">
        <f>IFERROR(INDEX(ENEMY_HP_CURVE!$B$4:$B$53,B33),0)</f>
        <v>5159.7803519999998</v>
      </c>
      <c r="R33" s="15" t="str">
        <f t="shared" si="2"/>
        <v/>
      </c>
      <c r="S33" s="15" t="str">
        <f>IF(R33="","",VLOOKUP("TargetTTK_Normal",BALANCE_INPUTS!$B$4:$C$18,2,FALSE)/R33)</f>
        <v/>
      </c>
    </row>
  </sheetData>
  <mergeCells count="1">
    <mergeCell ref="A1:S1"/>
  </mergeCells>
  <phoneticPr fontId="7" type="noConversion"/>
  <conditionalFormatting sqref="S4:S33">
    <cfRule type="cellIs" dxfId="1" priority="1" operator="greaterThanOrEqual">
      <formula>1</formula>
    </cfRule>
    <cfRule type="cellIs" dxfId="0" priority="2" operator="lessThan">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1000-000000000000}">
          <x14:formula1>
            <xm:f>SKILL_DPS_BUDGET!$A$4:$A$58</xm:f>
          </x14:formula1>
          <xm:sqref>C4:C33</xm:sqref>
        </x14:dataValidation>
        <x14:dataValidation type="list" xr:uid="{00000000-0002-0000-1000-000001000000}">
          <x14:formula1>
            <xm:f>SUPPORT_MODIFIER_CALC!$A$4:$A$70</xm:f>
          </x14:formula1>
          <xm:sqref>F4:F33 L4:L33 I4:I33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8"/>
  <sheetViews>
    <sheetView tabSelected="1" workbookViewId="0">
      <selection activeCell="H3" sqref="H3"/>
    </sheetView>
  </sheetViews>
  <sheetFormatPr defaultRowHeight="16.5" x14ac:dyDescent="0.3"/>
  <cols>
    <col min="1" max="1" width="50.625" customWidth="1"/>
    <col min="2" max="2" width="29.125" customWidth="1"/>
    <col min="3" max="3" width="20.75" customWidth="1"/>
    <col min="4" max="4" width="15.75" customWidth="1"/>
    <col min="5" max="5" width="23.75" customWidth="1"/>
    <col min="6" max="6" width="9" customWidth="1"/>
    <col min="7" max="7" width="15.375" bestFit="1" customWidth="1"/>
    <col min="8" max="8" width="14" bestFit="1" customWidth="1"/>
    <col min="9" max="9" width="7.875" bestFit="1" customWidth="1"/>
    <col min="10" max="11" width="11.5" customWidth="1"/>
    <col min="12" max="12" width="8.625" customWidth="1"/>
    <col min="13" max="13" width="9.5" customWidth="1"/>
    <col min="14" max="14" width="160.375" customWidth="1"/>
  </cols>
  <sheetData>
    <row r="1" spans="1:14" ht="20.25" x14ac:dyDescent="0.3">
      <c r="A1" s="16" t="s">
        <v>1797</v>
      </c>
      <c r="B1" s="17"/>
      <c r="C1" s="17"/>
      <c r="D1" s="17"/>
      <c r="E1" s="17"/>
      <c r="F1" s="17"/>
      <c r="G1" s="17"/>
      <c r="H1" s="17"/>
      <c r="I1" s="17"/>
      <c r="J1" s="17"/>
      <c r="K1" s="17"/>
      <c r="L1" s="17"/>
      <c r="M1" s="17"/>
      <c r="N1" s="17"/>
    </row>
    <row r="3" spans="1:14" x14ac:dyDescent="0.3">
      <c r="A3" s="11" t="s">
        <v>1300</v>
      </c>
      <c r="B3" s="11" t="s">
        <v>1304</v>
      </c>
      <c r="C3" s="11" t="s">
        <v>1305</v>
      </c>
      <c r="D3" s="11" t="s">
        <v>127</v>
      </c>
      <c r="E3" s="11" t="s">
        <v>1306</v>
      </c>
      <c r="F3" s="11" t="s">
        <v>1681</v>
      </c>
      <c r="G3" s="11" t="s">
        <v>1798</v>
      </c>
      <c r="H3" s="11" t="s">
        <v>1712</v>
      </c>
      <c r="I3" s="11" t="s">
        <v>1799</v>
      </c>
      <c r="J3" s="11" t="s">
        <v>1800</v>
      </c>
      <c r="K3" s="11" t="s">
        <v>1801</v>
      </c>
      <c r="L3" s="11" t="s">
        <v>1802</v>
      </c>
      <c r="M3" s="11" t="s">
        <v>1803</v>
      </c>
      <c r="N3" s="11" t="s">
        <v>1804</v>
      </c>
    </row>
    <row r="4" spans="1:14" x14ac:dyDescent="0.3">
      <c r="A4" t="s">
        <v>152</v>
      </c>
      <c r="B4" t="s">
        <v>1318</v>
      </c>
      <c r="C4" t="s">
        <v>1319</v>
      </c>
      <c r="D4" t="s">
        <v>154</v>
      </c>
      <c r="E4" t="s">
        <v>1320</v>
      </c>
      <c r="F4" s="15">
        <f>VLOOKUP("BasePower",BALANCE_INPUTS!$B$4:$C$18,2,FALSE)</f>
        <v>450</v>
      </c>
      <c r="G4" s="15">
        <f>IFERROR(VLOOKUP(B4,ARCHETYPE_DPS_BUDGET!$A$4:$G$19,2,FALSE),VLOOKUP("Fallback",ARCHETYPE_DPS_BUDGET!$A$4:$G$19,2,FALSE))</f>
        <v>0.35</v>
      </c>
      <c r="H4" s="15">
        <f>IFERROR(VLOOKUP(B4,ARCHETYPE_DPS_BUDGET!$A$4:$G$19,3,FALSE),VLOOKUP("Fallback",ARCHETYPE_DPS_BUDGET!$A$4:$G$19,3,FALSE))</f>
        <v>0.65</v>
      </c>
      <c r="I4" s="15">
        <f t="shared" ref="I4:I35" si="0">F4*G4*H4</f>
        <v>102.375</v>
      </c>
      <c r="J4" s="15">
        <f>IFERROR(VLOOKUP(B4,ARCHETYPE_DPS_BUDGET!$A$4:$G$19,4,FALSE),VLOOKUP("Fallback",ARCHETYPE_DPS_BUDGET!$A$4:$G$19,4,FALSE))</f>
        <v>1</v>
      </c>
      <c r="K4" s="15">
        <f t="shared" ref="K4:K35" si="1">I4*J4</f>
        <v>102.375</v>
      </c>
      <c r="L4" s="15">
        <f>ENEMY_HP_CURVE!$B$4/I4</f>
        <v>9.7680097680097688</v>
      </c>
      <c r="M4" s="15">
        <f>ENEMY_HP_CURVE!$B$13/I4</f>
        <v>50.400784879120877</v>
      </c>
      <c r="N4" s="1" t="s">
        <v>1327</v>
      </c>
    </row>
    <row r="5" spans="1:14" x14ac:dyDescent="0.3">
      <c r="A5" t="s">
        <v>167</v>
      </c>
      <c r="B5" t="s">
        <v>1330</v>
      </c>
      <c r="C5" t="s">
        <v>1331</v>
      </c>
      <c r="D5" t="s">
        <v>1328</v>
      </c>
      <c r="E5" t="s">
        <v>1332</v>
      </c>
      <c r="F5" s="15">
        <f>VLOOKUP("BasePower",BALANCE_INPUTS!$B$4:$C$18,2,FALSE)</f>
        <v>450</v>
      </c>
      <c r="G5" s="15">
        <f>IFERROR(VLOOKUP(B5,ARCHETYPE_DPS_BUDGET!$A$4:$G$19,2,FALSE),VLOOKUP("Fallback",ARCHETYPE_DPS_BUDGET!$A$4:$G$19,2,FALSE))</f>
        <v>0.75</v>
      </c>
      <c r="H5" s="15">
        <f>IFERROR(VLOOKUP(B5,ARCHETYPE_DPS_BUDGET!$A$4:$G$19,3,FALSE),VLOOKUP("Fallback",ARCHETYPE_DPS_BUDGET!$A$4:$G$19,3,FALSE))</f>
        <v>0.85</v>
      </c>
      <c r="I5" s="15">
        <f t="shared" si="0"/>
        <v>286.875</v>
      </c>
      <c r="J5" s="15">
        <f>IFERROR(VLOOKUP(B5,ARCHETYPE_DPS_BUDGET!$A$4:$G$19,4,FALSE),VLOOKUP("Fallback",ARCHETYPE_DPS_BUDGET!$A$4:$G$19,4,FALSE))</f>
        <v>1.2</v>
      </c>
      <c r="K5" s="15">
        <f t="shared" si="1"/>
        <v>344.25</v>
      </c>
      <c r="L5" s="15">
        <f>ENEMY_HP_CURVE!$B$4/I5</f>
        <v>3.4858387799564272</v>
      </c>
      <c r="M5" s="15">
        <f>ENEMY_HP_CURVE!$B$13/I5</f>
        <v>17.986162447058824</v>
      </c>
      <c r="N5" s="1" t="s">
        <v>1338</v>
      </c>
    </row>
    <row r="6" spans="1:14" x14ac:dyDescent="0.3">
      <c r="A6" t="s">
        <v>182</v>
      </c>
      <c r="B6" t="s">
        <v>1340</v>
      </c>
      <c r="C6" t="s">
        <v>1341</v>
      </c>
      <c r="D6" t="s">
        <v>184</v>
      </c>
      <c r="E6" t="s">
        <v>1342</v>
      </c>
      <c r="F6" s="15">
        <f>VLOOKUP("BasePower",BALANCE_INPUTS!$B$4:$C$18,2,FALSE)</f>
        <v>450</v>
      </c>
      <c r="G6" s="15">
        <f>IFERROR(VLOOKUP(B6,ARCHETYPE_DPS_BUDGET!$A$4:$G$19,2,FALSE),VLOOKUP("Fallback",ARCHETYPE_DPS_BUDGET!$A$4:$G$19,2,FALSE))</f>
        <v>0.7</v>
      </c>
      <c r="H6" s="15">
        <f>IFERROR(VLOOKUP(B6,ARCHETYPE_DPS_BUDGET!$A$4:$G$19,3,FALSE),VLOOKUP("Fallback",ARCHETYPE_DPS_BUDGET!$A$4:$G$19,3,FALSE))</f>
        <v>0.9</v>
      </c>
      <c r="I6" s="15">
        <f t="shared" si="0"/>
        <v>283.5</v>
      </c>
      <c r="J6" s="15">
        <f>IFERROR(VLOOKUP(B6,ARCHETYPE_DPS_BUDGET!$A$4:$G$19,4,FALSE),VLOOKUP("Fallback",ARCHETYPE_DPS_BUDGET!$A$4:$G$19,4,FALSE))</f>
        <v>1</v>
      </c>
      <c r="K6" s="15">
        <f t="shared" si="1"/>
        <v>283.5</v>
      </c>
      <c r="L6" s="15">
        <f>ENEMY_HP_CURVE!$B$4/I6</f>
        <v>3.5273368606701938</v>
      </c>
      <c r="M6" s="15">
        <f>ENEMY_HP_CURVE!$B$13/I6</f>
        <v>18.200283428571428</v>
      </c>
      <c r="N6" s="1" t="s">
        <v>1348</v>
      </c>
    </row>
    <row r="7" spans="1:14" x14ac:dyDescent="0.3">
      <c r="A7" t="s">
        <v>194</v>
      </c>
      <c r="B7" t="s">
        <v>1330</v>
      </c>
      <c r="C7" t="s">
        <v>1331</v>
      </c>
      <c r="D7" t="s">
        <v>1328</v>
      </c>
      <c r="E7" t="s">
        <v>1332</v>
      </c>
      <c r="F7" s="15">
        <f>VLOOKUP("BasePower",BALANCE_INPUTS!$B$4:$C$18,2,FALSE)</f>
        <v>450</v>
      </c>
      <c r="G7" s="15">
        <f>IFERROR(VLOOKUP(B7,ARCHETYPE_DPS_BUDGET!$A$4:$G$19,2,FALSE),VLOOKUP("Fallback",ARCHETYPE_DPS_BUDGET!$A$4:$G$19,2,FALSE))</f>
        <v>0.75</v>
      </c>
      <c r="H7" s="15">
        <f>IFERROR(VLOOKUP(B7,ARCHETYPE_DPS_BUDGET!$A$4:$G$19,3,FALSE),VLOOKUP("Fallback",ARCHETYPE_DPS_BUDGET!$A$4:$G$19,3,FALSE))</f>
        <v>0.85</v>
      </c>
      <c r="I7" s="15">
        <f t="shared" si="0"/>
        <v>286.875</v>
      </c>
      <c r="J7" s="15">
        <f>IFERROR(VLOOKUP(B7,ARCHETYPE_DPS_BUDGET!$A$4:$G$19,4,FALSE),VLOOKUP("Fallback",ARCHETYPE_DPS_BUDGET!$A$4:$G$19,4,FALSE))</f>
        <v>1.2</v>
      </c>
      <c r="K7" s="15">
        <f t="shared" si="1"/>
        <v>344.25</v>
      </c>
      <c r="L7" s="15">
        <f>ENEMY_HP_CURVE!$B$4/I7</f>
        <v>3.4858387799564272</v>
      </c>
      <c r="M7" s="15">
        <f>ENEMY_HP_CURVE!$B$13/I7</f>
        <v>17.986162447058824</v>
      </c>
      <c r="N7" s="1" t="s">
        <v>1350</v>
      </c>
    </row>
    <row r="8" spans="1:14" x14ac:dyDescent="0.3">
      <c r="A8" t="s">
        <v>206</v>
      </c>
      <c r="B8" t="s">
        <v>1318</v>
      </c>
      <c r="C8" t="s">
        <v>1319</v>
      </c>
      <c r="D8" t="s">
        <v>154</v>
      </c>
      <c r="E8" t="s">
        <v>1320</v>
      </c>
      <c r="F8" s="15">
        <f>VLOOKUP("BasePower",BALANCE_INPUTS!$B$4:$C$18,2,FALSE)</f>
        <v>450</v>
      </c>
      <c r="G8" s="15">
        <f>IFERROR(VLOOKUP(B8,ARCHETYPE_DPS_BUDGET!$A$4:$G$19,2,FALSE),VLOOKUP("Fallback",ARCHETYPE_DPS_BUDGET!$A$4:$G$19,2,FALSE))</f>
        <v>0.35</v>
      </c>
      <c r="H8" s="15">
        <f>IFERROR(VLOOKUP(B8,ARCHETYPE_DPS_BUDGET!$A$4:$G$19,3,FALSE),VLOOKUP("Fallback",ARCHETYPE_DPS_BUDGET!$A$4:$G$19,3,FALSE))</f>
        <v>0.65</v>
      </c>
      <c r="I8" s="15">
        <f t="shared" si="0"/>
        <v>102.375</v>
      </c>
      <c r="J8" s="15">
        <f>IFERROR(VLOOKUP(B8,ARCHETYPE_DPS_BUDGET!$A$4:$G$19,4,FALSE),VLOOKUP("Fallback",ARCHETYPE_DPS_BUDGET!$A$4:$G$19,4,FALSE))</f>
        <v>1</v>
      </c>
      <c r="K8" s="15">
        <f t="shared" si="1"/>
        <v>102.375</v>
      </c>
      <c r="L8" s="15">
        <f>ENEMY_HP_CURVE!$B$4/I8</f>
        <v>9.7680097680097688</v>
      </c>
      <c r="M8" s="15">
        <f>ENEMY_HP_CURVE!$B$13/I8</f>
        <v>50.400784879120877</v>
      </c>
      <c r="N8" s="1" t="s">
        <v>1351</v>
      </c>
    </row>
    <row r="9" spans="1:14" x14ac:dyDescent="0.3">
      <c r="A9" t="s">
        <v>217</v>
      </c>
      <c r="B9" t="s">
        <v>1352</v>
      </c>
      <c r="C9" t="s">
        <v>1353</v>
      </c>
      <c r="D9" t="s">
        <v>154</v>
      </c>
      <c r="E9" t="s">
        <v>1354</v>
      </c>
      <c r="F9" s="15">
        <f>VLOOKUP("BasePower",BALANCE_INPUTS!$B$4:$C$18,2,FALSE)</f>
        <v>450</v>
      </c>
      <c r="G9" s="15">
        <f>IFERROR(VLOOKUP(B9,ARCHETYPE_DPS_BUDGET!$A$4:$G$19,2,FALSE),VLOOKUP("Fallback",ARCHETYPE_DPS_BUDGET!$A$4:$G$19,2,FALSE))</f>
        <v>1</v>
      </c>
      <c r="H9" s="15">
        <f>IFERROR(VLOOKUP(B9,ARCHETYPE_DPS_BUDGET!$A$4:$G$19,3,FALSE),VLOOKUP("Fallback",ARCHETYPE_DPS_BUDGET!$A$4:$G$19,3,FALSE))</f>
        <v>0.9</v>
      </c>
      <c r="I9" s="15">
        <f t="shared" si="0"/>
        <v>405</v>
      </c>
      <c r="J9" s="15">
        <f>IFERROR(VLOOKUP(B9,ARCHETYPE_DPS_BUDGET!$A$4:$G$19,4,FALSE),VLOOKUP("Fallback",ARCHETYPE_DPS_BUDGET!$A$4:$G$19,4,FALSE))</f>
        <v>1</v>
      </c>
      <c r="K9" s="15">
        <f t="shared" si="1"/>
        <v>405</v>
      </c>
      <c r="L9" s="15">
        <f>ENEMY_HP_CURVE!$B$4/I9</f>
        <v>2.4691358024691357</v>
      </c>
      <c r="M9" s="15">
        <f>ENEMY_HP_CURVE!$B$13/I9</f>
        <v>12.740198399999999</v>
      </c>
      <c r="N9" s="1" t="s">
        <v>1360</v>
      </c>
    </row>
    <row r="10" spans="1:14" x14ac:dyDescent="0.3">
      <c r="A10" t="s">
        <v>228</v>
      </c>
      <c r="B10" t="s">
        <v>1318</v>
      </c>
      <c r="C10" t="s">
        <v>1319</v>
      </c>
      <c r="D10" t="s">
        <v>184</v>
      </c>
      <c r="E10" t="s">
        <v>1320</v>
      </c>
      <c r="F10" s="15">
        <f>VLOOKUP("BasePower",BALANCE_INPUTS!$B$4:$C$18,2,FALSE)</f>
        <v>450</v>
      </c>
      <c r="G10" s="15">
        <f>IFERROR(VLOOKUP(B10,ARCHETYPE_DPS_BUDGET!$A$4:$G$19,2,FALSE),VLOOKUP("Fallback",ARCHETYPE_DPS_BUDGET!$A$4:$G$19,2,FALSE))</f>
        <v>0.35</v>
      </c>
      <c r="H10" s="15">
        <f>IFERROR(VLOOKUP(B10,ARCHETYPE_DPS_BUDGET!$A$4:$G$19,3,FALSE),VLOOKUP("Fallback",ARCHETYPE_DPS_BUDGET!$A$4:$G$19,3,FALSE))</f>
        <v>0.65</v>
      </c>
      <c r="I10" s="15">
        <f t="shared" si="0"/>
        <v>102.375</v>
      </c>
      <c r="J10" s="15">
        <f>IFERROR(VLOOKUP(B10,ARCHETYPE_DPS_BUDGET!$A$4:$G$19,4,FALSE),VLOOKUP("Fallback",ARCHETYPE_DPS_BUDGET!$A$4:$G$19,4,FALSE))</f>
        <v>1</v>
      </c>
      <c r="K10" s="15">
        <f t="shared" si="1"/>
        <v>102.375</v>
      </c>
      <c r="L10" s="15">
        <f>ENEMY_HP_CURVE!$B$4/I10</f>
        <v>9.7680097680097688</v>
      </c>
      <c r="M10" s="15">
        <f>ENEMY_HP_CURVE!$B$13/I10</f>
        <v>50.400784879120877</v>
      </c>
      <c r="N10" s="1" t="s">
        <v>1361</v>
      </c>
    </row>
    <row r="11" spans="1:14" x14ac:dyDescent="0.3">
      <c r="A11" t="s">
        <v>234</v>
      </c>
      <c r="B11" t="s">
        <v>1340</v>
      </c>
      <c r="C11" t="s">
        <v>1341</v>
      </c>
      <c r="D11" t="s">
        <v>184</v>
      </c>
      <c r="E11" t="s">
        <v>1342</v>
      </c>
      <c r="F11" s="15">
        <f>VLOOKUP("BasePower",BALANCE_INPUTS!$B$4:$C$18,2,FALSE)</f>
        <v>450</v>
      </c>
      <c r="G11" s="15">
        <f>IFERROR(VLOOKUP(B11,ARCHETYPE_DPS_BUDGET!$A$4:$G$19,2,FALSE),VLOOKUP("Fallback",ARCHETYPE_DPS_BUDGET!$A$4:$G$19,2,FALSE))</f>
        <v>0.7</v>
      </c>
      <c r="H11" s="15">
        <f>IFERROR(VLOOKUP(B11,ARCHETYPE_DPS_BUDGET!$A$4:$G$19,3,FALSE),VLOOKUP("Fallback",ARCHETYPE_DPS_BUDGET!$A$4:$G$19,3,FALSE))</f>
        <v>0.9</v>
      </c>
      <c r="I11" s="15">
        <f t="shared" si="0"/>
        <v>283.5</v>
      </c>
      <c r="J11" s="15">
        <f>IFERROR(VLOOKUP(B11,ARCHETYPE_DPS_BUDGET!$A$4:$G$19,4,FALSE),VLOOKUP("Fallback",ARCHETYPE_DPS_BUDGET!$A$4:$G$19,4,FALSE))</f>
        <v>1</v>
      </c>
      <c r="K11" s="15">
        <f t="shared" si="1"/>
        <v>283.5</v>
      </c>
      <c r="L11" s="15">
        <f>ENEMY_HP_CURVE!$B$4/I11</f>
        <v>3.5273368606701938</v>
      </c>
      <c r="M11" s="15">
        <f>ENEMY_HP_CURVE!$B$13/I11</f>
        <v>18.200283428571428</v>
      </c>
      <c r="N11" s="1" t="s">
        <v>1362</v>
      </c>
    </row>
    <row r="12" spans="1:14" x14ac:dyDescent="0.3">
      <c r="A12" t="s">
        <v>242</v>
      </c>
      <c r="B12" t="s">
        <v>1318</v>
      </c>
      <c r="C12" t="s">
        <v>1319</v>
      </c>
      <c r="D12" t="s">
        <v>244</v>
      </c>
      <c r="E12" t="s">
        <v>1320</v>
      </c>
      <c r="F12" s="15">
        <f>VLOOKUP("BasePower",BALANCE_INPUTS!$B$4:$C$18,2,FALSE)</f>
        <v>450</v>
      </c>
      <c r="G12" s="15">
        <f>IFERROR(VLOOKUP(B12,ARCHETYPE_DPS_BUDGET!$A$4:$G$19,2,FALSE),VLOOKUP("Fallback",ARCHETYPE_DPS_BUDGET!$A$4:$G$19,2,FALSE))</f>
        <v>0.35</v>
      </c>
      <c r="H12" s="15">
        <f>IFERROR(VLOOKUP(B12,ARCHETYPE_DPS_BUDGET!$A$4:$G$19,3,FALSE),VLOOKUP("Fallback",ARCHETYPE_DPS_BUDGET!$A$4:$G$19,3,FALSE))</f>
        <v>0.65</v>
      </c>
      <c r="I12" s="15">
        <f t="shared" si="0"/>
        <v>102.375</v>
      </c>
      <c r="J12" s="15">
        <f>IFERROR(VLOOKUP(B12,ARCHETYPE_DPS_BUDGET!$A$4:$G$19,4,FALSE),VLOOKUP("Fallback",ARCHETYPE_DPS_BUDGET!$A$4:$G$19,4,FALSE))</f>
        <v>1</v>
      </c>
      <c r="K12" s="15">
        <f t="shared" si="1"/>
        <v>102.375</v>
      </c>
      <c r="L12" s="15">
        <f>ENEMY_HP_CURVE!$B$4/I12</f>
        <v>9.7680097680097688</v>
      </c>
      <c r="M12" s="15">
        <f>ENEMY_HP_CURVE!$B$13/I12</f>
        <v>50.400784879120877</v>
      </c>
      <c r="N12" s="1" t="s">
        <v>1364</v>
      </c>
    </row>
    <row r="13" spans="1:14" x14ac:dyDescent="0.3">
      <c r="A13" t="s">
        <v>253</v>
      </c>
      <c r="B13" t="s">
        <v>1366</v>
      </c>
      <c r="C13" t="s">
        <v>1367</v>
      </c>
      <c r="D13" t="s">
        <v>184</v>
      </c>
      <c r="E13" t="s">
        <v>1368</v>
      </c>
      <c r="F13" s="15">
        <f>VLOOKUP("BasePower",BALANCE_INPUTS!$B$4:$C$18,2,FALSE)</f>
        <v>450</v>
      </c>
      <c r="G13" s="15">
        <f>IFERROR(VLOOKUP(B13,ARCHETYPE_DPS_BUDGET!$A$4:$G$19,2,FALSE),VLOOKUP("Fallback",ARCHETYPE_DPS_BUDGET!$A$4:$G$19,2,FALSE))</f>
        <v>0.85</v>
      </c>
      <c r="H13" s="15">
        <f>IFERROR(VLOOKUP(B13,ARCHETYPE_DPS_BUDGET!$A$4:$G$19,3,FALSE),VLOOKUP("Fallback",ARCHETYPE_DPS_BUDGET!$A$4:$G$19,3,FALSE))</f>
        <v>0.9</v>
      </c>
      <c r="I13" s="15">
        <f t="shared" si="0"/>
        <v>344.25</v>
      </c>
      <c r="J13" s="15">
        <f>IFERROR(VLOOKUP(B13,ARCHETYPE_DPS_BUDGET!$A$4:$G$19,4,FALSE),VLOOKUP("Fallback",ARCHETYPE_DPS_BUDGET!$A$4:$G$19,4,FALSE))</f>
        <v>1</v>
      </c>
      <c r="K13" s="15">
        <f t="shared" si="1"/>
        <v>344.25</v>
      </c>
      <c r="L13" s="15">
        <f>ENEMY_HP_CURVE!$B$4/I13</f>
        <v>2.9048656499636891</v>
      </c>
      <c r="M13" s="15">
        <f>ENEMY_HP_CURVE!$B$13/I13</f>
        <v>14.988468705882353</v>
      </c>
      <c r="N13" s="1" t="s">
        <v>1374</v>
      </c>
    </row>
    <row r="14" spans="1:14" x14ac:dyDescent="0.3">
      <c r="A14" t="s">
        <v>264</v>
      </c>
      <c r="B14" t="s">
        <v>1330</v>
      </c>
      <c r="C14" t="s">
        <v>1331</v>
      </c>
      <c r="D14" t="s">
        <v>1328</v>
      </c>
      <c r="E14" t="s">
        <v>1332</v>
      </c>
      <c r="F14" s="15">
        <f>VLOOKUP("BasePower",BALANCE_INPUTS!$B$4:$C$18,2,FALSE)</f>
        <v>450</v>
      </c>
      <c r="G14" s="15">
        <f>IFERROR(VLOOKUP(B14,ARCHETYPE_DPS_BUDGET!$A$4:$G$19,2,FALSE),VLOOKUP("Fallback",ARCHETYPE_DPS_BUDGET!$A$4:$G$19,2,FALSE))</f>
        <v>0.75</v>
      </c>
      <c r="H14" s="15">
        <f>IFERROR(VLOOKUP(B14,ARCHETYPE_DPS_BUDGET!$A$4:$G$19,3,FALSE),VLOOKUP("Fallback",ARCHETYPE_DPS_BUDGET!$A$4:$G$19,3,FALSE))</f>
        <v>0.85</v>
      </c>
      <c r="I14" s="15">
        <f t="shared" si="0"/>
        <v>286.875</v>
      </c>
      <c r="J14" s="15">
        <f>IFERROR(VLOOKUP(B14,ARCHETYPE_DPS_BUDGET!$A$4:$G$19,4,FALSE),VLOOKUP("Fallback",ARCHETYPE_DPS_BUDGET!$A$4:$G$19,4,FALSE))</f>
        <v>1.2</v>
      </c>
      <c r="K14" s="15">
        <f t="shared" si="1"/>
        <v>344.25</v>
      </c>
      <c r="L14" s="15">
        <f>ENEMY_HP_CURVE!$B$4/I14</f>
        <v>3.4858387799564272</v>
      </c>
      <c r="M14" s="15">
        <f>ENEMY_HP_CURVE!$B$13/I14</f>
        <v>17.986162447058824</v>
      </c>
      <c r="N14" s="1" t="s">
        <v>1377</v>
      </c>
    </row>
    <row r="15" spans="1:14" x14ac:dyDescent="0.3">
      <c r="A15" t="s">
        <v>274</v>
      </c>
      <c r="B15" t="s">
        <v>1352</v>
      </c>
      <c r="C15" t="s">
        <v>1353</v>
      </c>
      <c r="D15" t="s">
        <v>154</v>
      </c>
      <c r="E15" t="s">
        <v>1354</v>
      </c>
      <c r="F15" s="15">
        <f>VLOOKUP("BasePower",BALANCE_INPUTS!$B$4:$C$18,2,FALSE)</f>
        <v>450</v>
      </c>
      <c r="G15" s="15">
        <f>IFERROR(VLOOKUP(B15,ARCHETYPE_DPS_BUDGET!$A$4:$G$19,2,FALSE),VLOOKUP("Fallback",ARCHETYPE_DPS_BUDGET!$A$4:$G$19,2,FALSE))</f>
        <v>1</v>
      </c>
      <c r="H15" s="15">
        <f>IFERROR(VLOOKUP(B15,ARCHETYPE_DPS_BUDGET!$A$4:$G$19,3,FALSE),VLOOKUP("Fallback",ARCHETYPE_DPS_BUDGET!$A$4:$G$19,3,FALSE))</f>
        <v>0.9</v>
      </c>
      <c r="I15" s="15">
        <f t="shared" si="0"/>
        <v>405</v>
      </c>
      <c r="J15" s="15">
        <f>IFERROR(VLOOKUP(B15,ARCHETYPE_DPS_BUDGET!$A$4:$G$19,4,FALSE),VLOOKUP("Fallback",ARCHETYPE_DPS_BUDGET!$A$4:$G$19,4,FALSE))</f>
        <v>1</v>
      </c>
      <c r="K15" s="15">
        <f t="shared" si="1"/>
        <v>405</v>
      </c>
      <c r="L15" s="15">
        <f>ENEMY_HP_CURVE!$B$4/I15</f>
        <v>2.4691358024691357</v>
      </c>
      <c r="M15" s="15">
        <f>ENEMY_HP_CURVE!$B$13/I15</f>
        <v>12.740198399999999</v>
      </c>
      <c r="N15" s="1" t="s">
        <v>1380</v>
      </c>
    </row>
    <row r="16" spans="1:14" x14ac:dyDescent="0.3">
      <c r="A16" t="s">
        <v>285</v>
      </c>
      <c r="B16" t="s">
        <v>1366</v>
      </c>
      <c r="C16" t="s">
        <v>1367</v>
      </c>
      <c r="D16" t="s">
        <v>184</v>
      </c>
      <c r="E16" t="s">
        <v>1368</v>
      </c>
      <c r="F16" s="15">
        <f>VLOOKUP("BasePower",BALANCE_INPUTS!$B$4:$C$18,2,FALSE)</f>
        <v>450</v>
      </c>
      <c r="G16" s="15">
        <f>IFERROR(VLOOKUP(B16,ARCHETYPE_DPS_BUDGET!$A$4:$G$19,2,FALSE),VLOOKUP("Fallback",ARCHETYPE_DPS_BUDGET!$A$4:$G$19,2,FALSE))</f>
        <v>0.85</v>
      </c>
      <c r="H16" s="15">
        <f>IFERROR(VLOOKUP(B16,ARCHETYPE_DPS_BUDGET!$A$4:$G$19,3,FALSE),VLOOKUP("Fallback",ARCHETYPE_DPS_BUDGET!$A$4:$G$19,3,FALSE))</f>
        <v>0.9</v>
      </c>
      <c r="I16" s="15">
        <f t="shared" si="0"/>
        <v>344.25</v>
      </c>
      <c r="J16" s="15">
        <f>IFERROR(VLOOKUP(B16,ARCHETYPE_DPS_BUDGET!$A$4:$G$19,4,FALSE),VLOOKUP("Fallback",ARCHETYPE_DPS_BUDGET!$A$4:$G$19,4,FALSE))</f>
        <v>1</v>
      </c>
      <c r="K16" s="15">
        <f t="shared" si="1"/>
        <v>344.25</v>
      </c>
      <c r="L16" s="15">
        <f>ENEMY_HP_CURVE!$B$4/I16</f>
        <v>2.9048656499636891</v>
      </c>
      <c r="M16" s="15">
        <f>ENEMY_HP_CURVE!$B$13/I16</f>
        <v>14.988468705882353</v>
      </c>
      <c r="N16" s="1" t="s">
        <v>1383</v>
      </c>
    </row>
    <row r="17" spans="1:14" x14ac:dyDescent="0.3">
      <c r="A17" t="s">
        <v>294</v>
      </c>
      <c r="B17" t="s">
        <v>1386</v>
      </c>
      <c r="C17" t="s">
        <v>1353</v>
      </c>
      <c r="D17" t="s">
        <v>1328</v>
      </c>
      <c r="E17" t="s">
        <v>1354</v>
      </c>
      <c r="F17" s="15">
        <f>VLOOKUP("BasePower",BALANCE_INPUTS!$B$4:$C$18,2,FALSE)</f>
        <v>450</v>
      </c>
      <c r="G17" s="15">
        <f>IFERROR(VLOOKUP(B17,ARCHETYPE_DPS_BUDGET!$A$4:$G$19,2,FALSE),VLOOKUP("Fallback",ARCHETYPE_DPS_BUDGET!$A$4:$G$19,2,FALSE))</f>
        <v>1</v>
      </c>
      <c r="H17" s="15">
        <f>IFERROR(VLOOKUP(B17,ARCHETYPE_DPS_BUDGET!$A$4:$G$19,3,FALSE),VLOOKUP("Fallback",ARCHETYPE_DPS_BUDGET!$A$4:$G$19,3,FALSE))</f>
        <v>0.9</v>
      </c>
      <c r="I17" s="15">
        <f t="shared" si="0"/>
        <v>405</v>
      </c>
      <c r="J17" s="15">
        <f>IFERROR(VLOOKUP(B17,ARCHETYPE_DPS_BUDGET!$A$4:$G$19,4,FALSE),VLOOKUP("Fallback",ARCHETYPE_DPS_BUDGET!$A$4:$G$19,4,FALSE))</f>
        <v>1</v>
      </c>
      <c r="K17" s="15">
        <f t="shared" si="1"/>
        <v>405</v>
      </c>
      <c r="L17" s="15">
        <f>ENEMY_HP_CURVE!$B$4/I17</f>
        <v>2.4691358024691357</v>
      </c>
      <c r="M17" s="15">
        <f>ENEMY_HP_CURVE!$B$13/I17</f>
        <v>12.740198399999999</v>
      </c>
      <c r="N17" s="1" t="s">
        <v>1387</v>
      </c>
    </row>
    <row r="18" spans="1:14" x14ac:dyDescent="0.3">
      <c r="A18" t="s">
        <v>306</v>
      </c>
      <c r="B18" t="s">
        <v>1340</v>
      </c>
      <c r="C18" t="s">
        <v>1341</v>
      </c>
      <c r="D18" t="s">
        <v>184</v>
      </c>
      <c r="E18" t="s">
        <v>1342</v>
      </c>
      <c r="F18" s="15">
        <f>VLOOKUP("BasePower",BALANCE_INPUTS!$B$4:$C$18,2,FALSE)</f>
        <v>450</v>
      </c>
      <c r="G18" s="15">
        <f>IFERROR(VLOOKUP(B18,ARCHETYPE_DPS_BUDGET!$A$4:$G$19,2,FALSE),VLOOKUP("Fallback",ARCHETYPE_DPS_BUDGET!$A$4:$G$19,2,FALSE))</f>
        <v>0.7</v>
      </c>
      <c r="H18" s="15">
        <f>IFERROR(VLOOKUP(B18,ARCHETYPE_DPS_BUDGET!$A$4:$G$19,3,FALSE),VLOOKUP("Fallback",ARCHETYPE_DPS_BUDGET!$A$4:$G$19,3,FALSE))</f>
        <v>0.9</v>
      </c>
      <c r="I18" s="15">
        <f t="shared" si="0"/>
        <v>283.5</v>
      </c>
      <c r="J18" s="15">
        <f>IFERROR(VLOOKUP(B18,ARCHETYPE_DPS_BUDGET!$A$4:$G$19,4,FALSE),VLOOKUP("Fallback",ARCHETYPE_DPS_BUDGET!$A$4:$G$19,4,FALSE))</f>
        <v>1</v>
      </c>
      <c r="K18" s="15">
        <f t="shared" si="1"/>
        <v>283.5</v>
      </c>
      <c r="L18" s="15">
        <f>ENEMY_HP_CURVE!$B$4/I18</f>
        <v>3.5273368606701938</v>
      </c>
      <c r="M18" s="15">
        <f>ENEMY_HP_CURVE!$B$13/I18</f>
        <v>18.200283428571428</v>
      </c>
      <c r="N18" s="1" t="s">
        <v>1389</v>
      </c>
    </row>
    <row r="19" spans="1:14" x14ac:dyDescent="0.3">
      <c r="A19" t="s">
        <v>314</v>
      </c>
      <c r="B19" t="s">
        <v>1392</v>
      </c>
      <c r="C19" t="s">
        <v>1341</v>
      </c>
      <c r="D19" t="s">
        <v>154</v>
      </c>
      <c r="E19" t="s">
        <v>1342</v>
      </c>
      <c r="F19" s="15">
        <f>VLOOKUP("BasePower",BALANCE_INPUTS!$B$4:$C$18,2,FALSE)</f>
        <v>450</v>
      </c>
      <c r="G19" s="15">
        <f>IFERROR(VLOOKUP(B19,ARCHETYPE_DPS_BUDGET!$A$4:$G$19,2,FALSE),VLOOKUP("Fallback",ARCHETYPE_DPS_BUDGET!$A$4:$G$19,2,FALSE))</f>
        <v>0.85</v>
      </c>
      <c r="H19" s="15">
        <f>IFERROR(VLOOKUP(B19,ARCHETYPE_DPS_BUDGET!$A$4:$G$19,3,FALSE),VLOOKUP("Fallback",ARCHETYPE_DPS_BUDGET!$A$4:$G$19,3,FALSE))</f>
        <v>0.9</v>
      </c>
      <c r="I19" s="15">
        <f t="shared" si="0"/>
        <v>344.25</v>
      </c>
      <c r="J19" s="15">
        <f>IFERROR(VLOOKUP(B19,ARCHETYPE_DPS_BUDGET!$A$4:$G$19,4,FALSE),VLOOKUP("Fallback",ARCHETYPE_DPS_BUDGET!$A$4:$G$19,4,FALSE))</f>
        <v>1</v>
      </c>
      <c r="K19" s="15">
        <f t="shared" si="1"/>
        <v>344.25</v>
      </c>
      <c r="L19" s="15">
        <f>ENEMY_HP_CURVE!$B$4/I19</f>
        <v>2.9048656499636891</v>
      </c>
      <c r="M19" s="15">
        <f>ENEMY_HP_CURVE!$B$13/I19</f>
        <v>14.988468705882353</v>
      </c>
      <c r="N19" s="1" t="s">
        <v>1393</v>
      </c>
    </row>
    <row r="20" spans="1:14" x14ac:dyDescent="0.3">
      <c r="A20" t="s">
        <v>322</v>
      </c>
      <c r="B20" t="s">
        <v>1392</v>
      </c>
      <c r="C20" t="s">
        <v>1341</v>
      </c>
      <c r="D20" t="s">
        <v>154</v>
      </c>
      <c r="E20" t="s">
        <v>1342</v>
      </c>
      <c r="F20" s="15">
        <f>VLOOKUP("BasePower",BALANCE_INPUTS!$B$4:$C$18,2,FALSE)</f>
        <v>450</v>
      </c>
      <c r="G20" s="15">
        <f>IFERROR(VLOOKUP(B20,ARCHETYPE_DPS_BUDGET!$A$4:$G$19,2,FALSE),VLOOKUP("Fallback",ARCHETYPE_DPS_BUDGET!$A$4:$G$19,2,FALSE))</f>
        <v>0.85</v>
      </c>
      <c r="H20" s="15">
        <f>IFERROR(VLOOKUP(B20,ARCHETYPE_DPS_BUDGET!$A$4:$G$19,3,FALSE),VLOOKUP("Fallback",ARCHETYPE_DPS_BUDGET!$A$4:$G$19,3,FALSE))</f>
        <v>0.9</v>
      </c>
      <c r="I20" s="15">
        <f t="shared" si="0"/>
        <v>344.25</v>
      </c>
      <c r="J20" s="15">
        <f>IFERROR(VLOOKUP(B20,ARCHETYPE_DPS_BUDGET!$A$4:$G$19,4,FALSE),VLOOKUP("Fallback",ARCHETYPE_DPS_BUDGET!$A$4:$G$19,4,FALSE))</f>
        <v>1</v>
      </c>
      <c r="K20" s="15">
        <f t="shared" si="1"/>
        <v>344.25</v>
      </c>
      <c r="L20" s="15">
        <f>ENEMY_HP_CURVE!$B$4/I20</f>
        <v>2.9048656499636891</v>
      </c>
      <c r="M20" s="15">
        <f>ENEMY_HP_CURVE!$B$13/I20</f>
        <v>14.988468705882353</v>
      </c>
      <c r="N20" s="1" t="s">
        <v>1396</v>
      </c>
    </row>
    <row r="21" spans="1:14" x14ac:dyDescent="0.3">
      <c r="A21" t="s">
        <v>334</v>
      </c>
      <c r="B21" t="s">
        <v>1398</v>
      </c>
      <c r="C21" t="s">
        <v>1341</v>
      </c>
      <c r="D21" t="s">
        <v>336</v>
      </c>
      <c r="E21" t="s">
        <v>1342</v>
      </c>
      <c r="F21" s="15">
        <f>VLOOKUP("BasePower",BALANCE_INPUTS!$B$4:$C$18,2,FALSE)</f>
        <v>450</v>
      </c>
      <c r="G21" s="15">
        <f>IFERROR(VLOOKUP(B21,ARCHETYPE_DPS_BUDGET!$A$4:$G$19,2,FALSE),VLOOKUP("Fallback",ARCHETYPE_DPS_BUDGET!$A$4:$G$19,2,FALSE))</f>
        <v>0.85</v>
      </c>
      <c r="H21" s="15">
        <f>IFERROR(VLOOKUP(B21,ARCHETYPE_DPS_BUDGET!$A$4:$G$19,3,FALSE),VLOOKUP("Fallback",ARCHETYPE_DPS_BUDGET!$A$4:$G$19,3,FALSE))</f>
        <v>0.9</v>
      </c>
      <c r="I21" s="15">
        <f t="shared" si="0"/>
        <v>344.25</v>
      </c>
      <c r="J21" s="15">
        <f>IFERROR(VLOOKUP(B21,ARCHETYPE_DPS_BUDGET!$A$4:$G$19,4,FALSE),VLOOKUP("Fallback",ARCHETYPE_DPS_BUDGET!$A$4:$G$19,4,FALSE))</f>
        <v>1</v>
      </c>
      <c r="K21" s="15">
        <f t="shared" si="1"/>
        <v>344.25</v>
      </c>
      <c r="L21" s="15">
        <f>ENEMY_HP_CURVE!$B$4/I21</f>
        <v>2.9048656499636891</v>
      </c>
      <c r="M21" s="15">
        <f>ENEMY_HP_CURVE!$B$13/I21</f>
        <v>14.988468705882353</v>
      </c>
      <c r="N21" s="1" t="s">
        <v>1400</v>
      </c>
    </row>
    <row r="22" spans="1:14" x14ac:dyDescent="0.3">
      <c r="A22" t="s">
        <v>347</v>
      </c>
      <c r="B22" t="s">
        <v>1330</v>
      </c>
      <c r="C22" t="s">
        <v>1331</v>
      </c>
      <c r="D22" t="s">
        <v>1328</v>
      </c>
      <c r="E22" t="s">
        <v>1332</v>
      </c>
      <c r="F22" s="15">
        <f>VLOOKUP("BasePower",BALANCE_INPUTS!$B$4:$C$18,2,FALSE)</f>
        <v>450</v>
      </c>
      <c r="G22" s="15">
        <f>IFERROR(VLOOKUP(B22,ARCHETYPE_DPS_BUDGET!$A$4:$G$19,2,FALSE),VLOOKUP("Fallback",ARCHETYPE_DPS_BUDGET!$A$4:$G$19,2,FALSE))</f>
        <v>0.75</v>
      </c>
      <c r="H22" s="15">
        <f>IFERROR(VLOOKUP(B22,ARCHETYPE_DPS_BUDGET!$A$4:$G$19,3,FALSE),VLOOKUP("Fallback",ARCHETYPE_DPS_BUDGET!$A$4:$G$19,3,FALSE))</f>
        <v>0.85</v>
      </c>
      <c r="I22" s="15">
        <f t="shared" si="0"/>
        <v>286.875</v>
      </c>
      <c r="J22" s="15">
        <f>IFERROR(VLOOKUP(B22,ARCHETYPE_DPS_BUDGET!$A$4:$G$19,4,FALSE),VLOOKUP("Fallback",ARCHETYPE_DPS_BUDGET!$A$4:$G$19,4,FALSE))</f>
        <v>1.2</v>
      </c>
      <c r="K22" s="15">
        <f t="shared" si="1"/>
        <v>344.25</v>
      </c>
      <c r="L22" s="15">
        <f>ENEMY_HP_CURVE!$B$4/I22</f>
        <v>3.4858387799564272</v>
      </c>
      <c r="M22" s="15">
        <f>ENEMY_HP_CURVE!$B$13/I22</f>
        <v>17.986162447058824</v>
      </c>
      <c r="N22" s="1" t="s">
        <v>1402</v>
      </c>
    </row>
    <row r="23" spans="1:14" x14ac:dyDescent="0.3">
      <c r="A23" t="s">
        <v>359</v>
      </c>
      <c r="B23" t="s">
        <v>1404</v>
      </c>
      <c r="C23" t="s">
        <v>1331</v>
      </c>
      <c r="D23" t="s">
        <v>154</v>
      </c>
      <c r="E23" t="s">
        <v>1332</v>
      </c>
      <c r="F23" s="15">
        <f>VLOOKUP("BasePower",BALANCE_INPUTS!$B$4:$C$18,2,FALSE)</f>
        <v>450</v>
      </c>
      <c r="G23" s="15">
        <f>IFERROR(VLOOKUP(B23,ARCHETYPE_DPS_BUDGET!$A$4:$G$19,2,FALSE),VLOOKUP("Fallback",ARCHETYPE_DPS_BUDGET!$A$4:$G$19,2,FALSE))</f>
        <v>0.85</v>
      </c>
      <c r="H23" s="15">
        <f>IFERROR(VLOOKUP(B23,ARCHETYPE_DPS_BUDGET!$A$4:$G$19,3,FALSE),VLOOKUP("Fallback",ARCHETYPE_DPS_BUDGET!$A$4:$G$19,3,FALSE))</f>
        <v>0.9</v>
      </c>
      <c r="I23" s="15">
        <f t="shared" si="0"/>
        <v>344.25</v>
      </c>
      <c r="J23" s="15">
        <f>IFERROR(VLOOKUP(B23,ARCHETYPE_DPS_BUDGET!$A$4:$G$19,4,FALSE),VLOOKUP("Fallback",ARCHETYPE_DPS_BUDGET!$A$4:$G$19,4,FALSE))</f>
        <v>1</v>
      </c>
      <c r="K23" s="15">
        <f t="shared" si="1"/>
        <v>344.25</v>
      </c>
      <c r="L23" s="15">
        <f>ENEMY_HP_CURVE!$B$4/I23</f>
        <v>2.9048656499636891</v>
      </c>
      <c r="M23" s="15">
        <f>ENEMY_HP_CURVE!$B$13/I23</f>
        <v>14.988468705882353</v>
      </c>
      <c r="N23" s="1" t="s">
        <v>1405</v>
      </c>
    </row>
    <row r="24" spans="1:14" x14ac:dyDescent="0.3">
      <c r="A24" t="s">
        <v>367</v>
      </c>
      <c r="B24" t="s">
        <v>1392</v>
      </c>
      <c r="C24" t="s">
        <v>1341</v>
      </c>
      <c r="D24" t="s">
        <v>154</v>
      </c>
      <c r="E24" t="s">
        <v>1342</v>
      </c>
      <c r="F24" s="15">
        <f>VLOOKUP("BasePower",BALANCE_INPUTS!$B$4:$C$18,2,FALSE)</f>
        <v>450</v>
      </c>
      <c r="G24" s="15">
        <f>IFERROR(VLOOKUP(B24,ARCHETYPE_DPS_BUDGET!$A$4:$G$19,2,FALSE),VLOOKUP("Fallback",ARCHETYPE_DPS_BUDGET!$A$4:$G$19,2,FALSE))</f>
        <v>0.85</v>
      </c>
      <c r="H24" s="15">
        <f>IFERROR(VLOOKUP(B24,ARCHETYPE_DPS_BUDGET!$A$4:$G$19,3,FALSE),VLOOKUP("Fallback",ARCHETYPE_DPS_BUDGET!$A$4:$G$19,3,FALSE))</f>
        <v>0.9</v>
      </c>
      <c r="I24" s="15">
        <f t="shared" si="0"/>
        <v>344.25</v>
      </c>
      <c r="J24" s="15">
        <f>IFERROR(VLOOKUP(B24,ARCHETYPE_DPS_BUDGET!$A$4:$G$19,4,FALSE),VLOOKUP("Fallback",ARCHETYPE_DPS_BUDGET!$A$4:$G$19,4,FALSE))</f>
        <v>1</v>
      </c>
      <c r="K24" s="15">
        <f t="shared" si="1"/>
        <v>344.25</v>
      </c>
      <c r="L24" s="15">
        <f>ENEMY_HP_CURVE!$B$4/I24</f>
        <v>2.9048656499636891</v>
      </c>
      <c r="M24" s="15">
        <f>ENEMY_HP_CURVE!$B$13/I24</f>
        <v>14.988468705882353</v>
      </c>
      <c r="N24" s="1" t="s">
        <v>1406</v>
      </c>
    </row>
    <row r="25" spans="1:14" ht="33" x14ac:dyDescent="0.3">
      <c r="A25" t="s">
        <v>375</v>
      </c>
      <c r="B25" t="s">
        <v>1407</v>
      </c>
      <c r="C25" t="s">
        <v>1353</v>
      </c>
      <c r="D25" t="s">
        <v>377</v>
      </c>
      <c r="E25" t="s">
        <v>1354</v>
      </c>
      <c r="F25" s="15">
        <f>VLOOKUP("BasePower",BALANCE_INPUTS!$B$4:$C$18,2,FALSE)</f>
        <v>450</v>
      </c>
      <c r="G25" s="15">
        <f>IFERROR(VLOOKUP(B25,ARCHETYPE_DPS_BUDGET!$A$4:$G$19,2,FALSE),VLOOKUP("Fallback",ARCHETYPE_DPS_BUDGET!$A$4:$G$19,2,FALSE))</f>
        <v>0.85</v>
      </c>
      <c r="H25" s="15">
        <f>IFERROR(VLOOKUP(B25,ARCHETYPE_DPS_BUDGET!$A$4:$G$19,3,FALSE),VLOOKUP("Fallback",ARCHETYPE_DPS_BUDGET!$A$4:$G$19,3,FALSE))</f>
        <v>0.9</v>
      </c>
      <c r="I25" s="15">
        <f t="shared" si="0"/>
        <v>344.25</v>
      </c>
      <c r="J25" s="15">
        <f>IFERROR(VLOOKUP(B25,ARCHETYPE_DPS_BUDGET!$A$4:$G$19,4,FALSE),VLOOKUP("Fallback",ARCHETYPE_DPS_BUDGET!$A$4:$G$19,4,FALSE))</f>
        <v>1</v>
      </c>
      <c r="K25" s="15">
        <f t="shared" si="1"/>
        <v>344.25</v>
      </c>
      <c r="L25" s="15">
        <f>ENEMY_HP_CURVE!$B$4/I25</f>
        <v>2.9048656499636891</v>
      </c>
      <c r="M25" s="15">
        <f>ENEMY_HP_CURVE!$B$13/I25</f>
        <v>14.988468705882353</v>
      </c>
      <c r="N25" s="1" t="s">
        <v>1409</v>
      </c>
    </row>
    <row r="26" spans="1:14" x14ac:dyDescent="0.3">
      <c r="A26" t="s">
        <v>384</v>
      </c>
      <c r="B26" t="s">
        <v>1410</v>
      </c>
      <c r="C26" t="s">
        <v>1341</v>
      </c>
      <c r="D26" t="s">
        <v>1328</v>
      </c>
      <c r="E26" t="s">
        <v>1342</v>
      </c>
      <c r="F26" s="15">
        <f>VLOOKUP("BasePower",BALANCE_INPUTS!$B$4:$C$18,2,FALSE)</f>
        <v>450</v>
      </c>
      <c r="G26" s="15">
        <f>IFERROR(VLOOKUP(B26,ARCHETYPE_DPS_BUDGET!$A$4:$G$19,2,FALSE),VLOOKUP("Fallback",ARCHETYPE_DPS_BUDGET!$A$4:$G$19,2,FALSE))</f>
        <v>0.85</v>
      </c>
      <c r="H26" s="15">
        <f>IFERROR(VLOOKUP(B26,ARCHETYPE_DPS_BUDGET!$A$4:$G$19,3,FALSE),VLOOKUP("Fallback",ARCHETYPE_DPS_BUDGET!$A$4:$G$19,3,FALSE))</f>
        <v>0.9</v>
      </c>
      <c r="I26" s="15">
        <f t="shared" si="0"/>
        <v>344.25</v>
      </c>
      <c r="J26" s="15">
        <f>IFERROR(VLOOKUP(B26,ARCHETYPE_DPS_BUDGET!$A$4:$G$19,4,FALSE),VLOOKUP("Fallback",ARCHETYPE_DPS_BUDGET!$A$4:$G$19,4,FALSE))</f>
        <v>1</v>
      </c>
      <c r="K26" s="15">
        <f t="shared" si="1"/>
        <v>344.25</v>
      </c>
      <c r="L26" s="15">
        <f>ENEMY_HP_CURVE!$B$4/I26</f>
        <v>2.9048656499636891</v>
      </c>
      <c r="M26" s="15">
        <f>ENEMY_HP_CURVE!$B$13/I26</f>
        <v>14.988468705882353</v>
      </c>
      <c r="N26" s="1" t="s">
        <v>1411</v>
      </c>
    </row>
    <row r="27" spans="1:14" x14ac:dyDescent="0.3">
      <c r="A27" t="s">
        <v>394</v>
      </c>
      <c r="B27" t="s">
        <v>1412</v>
      </c>
      <c r="C27" t="s">
        <v>1353</v>
      </c>
      <c r="D27" t="s">
        <v>396</v>
      </c>
      <c r="E27" t="s">
        <v>1354</v>
      </c>
      <c r="F27" s="15">
        <f>VLOOKUP("BasePower",BALANCE_INPUTS!$B$4:$C$18,2,FALSE)</f>
        <v>450</v>
      </c>
      <c r="G27" s="15">
        <f>IFERROR(VLOOKUP(B27,ARCHETYPE_DPS_BUDGET!$A$4:$G$19,2,FALSE),VLOOKUP("Fallback",ARCHETYPE_DPS_BUDGET!$A$4:$G$19,2,FALSE))</f>
        <v>0.85</v>
      </c>
      <c r="H27" s="15">
        <f>IFERROR(VLOOKUP(B27,ARCHETYPE_DPS_BUDGET!$A$4:$G$19,3,FALSE),VLOOKUP("Fallback",ARCHETYPE_DPS_BUDGET!$A$4:$G$19,3,FALSE))</f>
        <v>0.9</v>
      </c>
      <c r="I27" s="15">
        <f t="shared" si="0"/>
        <v>344.25</v>
      </c>
      <c r="J27" s="15">
        <f>IFERROR(VLOOKUP(B27,ARCHETYPE_DPS_BUDGET!$A$4:$G$19,4,FALSE),VLOOKUP("Fallback",ARCHETYPE_DPS_BUDGET!$A$4:$G$19,4,FALSE))</f>
        <v>1</v>
      </c>
      <c r="K27" s="15">
        <f t="shared" si="1"/>
        <v>344.25</v>
      </c>
      <c r="L27" s="15">
        <f>ENEMY_HP_CURVE!$B$4/I27</f>
        <v>2.9048656499636891</v>
      </c>
      <c r="M27" s="15">
        <f>ENEMY_HP_CURVE!$B$13/I27</f>
        <v>14.988468705882353</v>
      </c>
      <c r="N27" s="1" t="s">
        <v>1413</v>
      </c>
    </row>
    <row r="28" spans="1:14" x14ac:dyDescent="0.3">
      <c r="A28" t="s">
        <v>404</v>
      </c>
      <c r="B28" t="s">
        <v>1414</v>
      </c>
      <c r="C28" t="s">
        <v>1353</v>
      </c>
      <c r="D28" t="s">
        <v>244</v>
      </c>
      <c r="E28" t="s">
        <v>1354</v>
      </c>
      <c r="F28" s="15">
        <f>VLOOKUP("BasePower",BALANCE_INPUTS!$B$4:$C$18,2,FALSE)</f>
        <v>450</v>
      </c>
      <c r="G28" s="15">
        <f>IFERROR(VLOOKUP(B28,ARCHETYPE_DPS_BUDGET!$A$4:$G$19,2,FALSE),VLOOKUP("Fallback",ARCHETYPE_DPS_BUDGET!$A$4:$G$19,2,FALSE))</f>
        <v>0.85</v>
      </c>
      <c r="H28" s="15">
        <f>IFERROR(VLOOKUP(B28,ARCHETYPE_DPS_BUDGET!$A$4:$G$19,3,FALSE),VLOOKUP("Fallback",ARCHETYPE_DPS_BUDGET!$A$4:$G$19,3,FALSE))</f>
        <v>0.9</v>
      </c>
      <c r="I28" s="15">
        <f t="shared" si="0"/>
        <v>344.25</v>
      </c>
      <c r="J28" s="15">
        <f>IFERROR(VLOOKUP(B28,ARCHETYPE_DPS_BUDGET!$A$4:$G$19,4,FALSE),VLOOKUP("Fallback",ARCHETYPE_DPS_BUDGET!$A$4:$G$19,4,FALSE))</f>
        <v>1</v>
      </c>
      <c r="K28" s="15">
        <f t="shared" si="1"/>
        <v>344.25</v>
      </c>
      <c r="L28" s="15">
        <f>ENEMY_HP_CURVE!$B$4/I28</f>
        <v>2.9048656499636891</v>
      </c>
      <c r="M28" s="15">
        <f>ENEMY_HP_CURVE!$B$13/I28</f>
        <v>14.988468705882353</v>
      </c>
      <c r="N28" s="1" t="s">
        <v>1415</v>
      </c>
    </row>
    <row r="29" spans="1:14" x14ac:dyDescent="0.3">
      <c r="A29" t="s">
        <v>412</v>
      </c>
      <c r="B29" t="s">
        <v>1318</v>
      </c>
      <c r="C29" t="s">
        <v>1319</v>
      </c>
      <c r="D29" t="s">
        <v>1328</v>
      </c>
      <c r="E29" t="s">
        <v>1320</v>
      </c>
      <c r="F29" s="15">
        <f>VLOOKUP("BasePower",BALANCE_INPUTS!$B$4:$C$18,2,FALSE)</f>
        <v>450</v>
      </c>
      <c r="G29" s="15">
        <f>IFERROR(VLOOKUP(B29,ARCHETYPE_DPS_BUDGET!$A$4:$G$19,2,FALSE),VLOOKUP("Fallback",ARCHETYPE_DPS_BUDGET!$A$4:$G$19,2,FALSE))</f>
        <v>0.35</v>
      </c>
      <c r="H29" s="15">
        <f>IFERROR(VLOOKUP(B29,ARCHETYPE_DPS_BUDGET!$A$4:$G$19,3,FALSE),VLOOKUP("Fallback",ARCHETYPE_DPS_BUDGET!$A$4:$G$19,3,FALSE))</f>
        <v>0.65</v>
      </c>
      <c r="I29" s="15">
        <f t="shared" si="0"/>
        <v>102.375</v>
      </c>
      <c r="J29" s="15">
        <f>IFERROR(VLOOKUP(B29,ARCHETYPE_DPS_BUDGET!$A$4:$G$19,4,FALSE),VLOOKUP("Fallback",ARCHETYPE_DPS_BUDGET!$A$4:$G$19,4,FALSE))</f>
        <v>1</v>
      </c>
      <c r="K29" s="15">
        <f t="shared" si="1"/>
        <v>102.375</v>
      </c>
      <c r="L29" s="15">
        <f>ENEMY_HP_CURVE!$B$4/I29</f>
        <v>9.7680097680097688</v>
      </c>
      <c r="M29" s="15">
        <f>ENEMY_HP_CURVE!$B$13/I29</f>
        <v>50.400784879120877</v>
      </c>
      <c r="N29" s="1" t="s">
        <v>1416</v>
      </c>
    </row>
    <row r="30" spans="1:14" x14ac:dyDescent="0.3">
      <c r="A30" t="s">
        <v>418</v>
      </c>
      <c r="B30" t="s">
        <v>1318</v>
      </c>
      <c r="C30" t="s">
        <v>1319</v>
      </c>
      <c r="D30" t="s">
        <v>396</v>
      </c>
      <c r="E30" t="s">
        <v>1320</v>
      </c>
      <c r="F30" s="15">
        <f>VLOOKUP("BasePower",BALANCE_INPUTS!$B$4:$C$18,2,FALSE)</f>
        <v>450</v>
      </c>
      <c r="G30" s="15">
        <f>IFERROR(VLOOKUP(B30,ARCHETYPE_DPS_BUDGET!$A$4:$G$19,2,FALSE),VLOOKUP("Fallback",ARCHETYPE_DPS_BUDGET!$A$4:$G$19,2,FALSE))</f>
        <v>0.35</v>
      </c>
      <c r="H30" s="15">
        <f>IFERROR(VLOOKUP(B30,ARCHETYPE_DPS_BUDGET!$A$4:$G$19,3,FALSE),VLOOKUP("Fallback",ARCHETYPE_DPS_BUDGET!$A$4:$G$19,3,FALSE))</f>
        <v>0.65</v>
      </c>
      <c r="I30" s="15">
        <f t="shared" si="0"/>
        <v>102.375</v>
      </c>
      <c r="J30" s="15">
        <f>IFERROR(VLOOKUP(B30,ARCHETYPE_DPS_BUDGET!$A$4:$G$19,4,FALSE),VLOOKUP("Fallback",ARCHETYPE_DPS_BUDGET!$A$4:$G$19,4,FALSE))</f>
        <v>1</v>
      </c>
      <c r="K30" s="15">
        <f t="shared" si="1"/>
        <v>102.375</v>
      </c>
      <c r="L30" s="15">
        <f>ENEMY_HP_CURVE!$B$4/I30</f>
        <v>9.7680097680097688</v>
      </c>
      <c r="M30" s="15">
        <f>ENEMY_HP_CURVE!$B$13/I30</f>
        <v>50.400784879120877</v>
      </c>
      <c r="N30" s="1" t="s">
        <v>1417</v>
      </c>
    </row>
    <row r="31" spans="1:14" x14ac:dyDescent="0.3">
      <c r="A31" t="s">
        <v>423</v>
      </c>
      <c r="B31" t="s">
        <v>1318</v>
      </c>
      <c r="C31" t="s">
        <v>1319</v>
      </c>
      <c r="D31" t="s">
        <v>425</v>
      </c>
      <c r="E31" t="s">
        <v>1320</v>
      </c>
      <c r="F31" s="15">
        <f>VLOOKUP("BasePower",BALANCE_INPUTS!$B$4:$C$18,2,FALSE)</f>
        <v>450</v>
      </c>
      <c r="G31" s="15">
        <f>IFERROR(VLOOKUP(B31,ARCHETYPE_DPS_BUDGET!$A$4:$G$19,2,FALSE),VLOOKUP("Fallback",ARCHETYPE_DPS_BUDGET!$A$4:$G$19,2,FALSE))</f>
        <v>0.35</v>
      </c>
      <c r="H31" s="15">
        <f>IFERROR(VLOOKUP(B31,ARCHETYPE_DPS_BUDGET!$A$4:$G$19,3,FALSE),VLOOKUP("Fallback",ARCHETYPE_DPS_BUDGET!$A$4:$G$19,3,FALSE))</f>
        <v>0.65</v>
      </c>
      <c r="I31" s="15">
        <f t="shared" si="0"/>
        <v>102.375</v>
      </c>
      <c r="J31" s="15">
        <f>IFERROR(VLOOKUP(B31,ARCHETYPE_DPS_BUDGET!$A$4:$G$19,4,FALSE),VLOOKUP("Fallback",ARCHETYPE_DPS_BUDGET!$A$4:$G$19,4,FALSE))</f>
        <v>1</v>
      </c>
      <c r="K31" s="15">
        <f t="shared" si="1"/>
        <v>102.375</v>
      </c>
      <c r="L31" s="15">
        <f>ENEMY_HP_CURVE!$B$4/I31</f>
        <v>9.7680097680097688</v>
      </c>
      <c r="M31" s="15">
        <f>ENEMY_HP_CURVE!$B$13/I31</f>
        <v>50.400784879120877</v>
      </c>
      <c r="N31" s="1" t="s">
        <v>1419</v>
      </c>
    </row>
    <row r="32" spans="1:14" x14ac:dyDescent="0.3">
      <c r="A32" t="s">
        <v>431</v>
      </c>
      <c r="B32" t="s">
        <v>1318</v>
      </c>
      <c r="C32" t="s">
        <v>1319</v>
      </c>
      <c r="D32" t="s">
        <v>396</v>
      </c>
      <c r="E32" t="s">
        <v>1320</v>
      </c>
      <c r="F32" s="15">
        <f>VLOOKUP("BasePower",BALANCE_INPUTS!$B$4:$C$18,2,FALSE)</f>
        <v>450</v>
      </c>
      <c r="G32" s="15">
        <f>IFERROR(VLOOKUP(B32,ARCHETYPE_DPS_BUDGET!$A$4:$G$19,2,FALSE),VLOOKUP("Fallback",ARCHETYPE_DPS_BUDGET!$A$4:$G$19,2,FALSE))</f>
        <v>0.35</v>
      </c>
      <c r="H32" s="15">
        <f>IFERROR(VLOOKUP(B32,ARCHETYPE_DPS_BUDGET!$A$4:$G$19,3,FALSE),VLOOKUP("Fallback",ARCHETYPE_DPS_BUDGET!$A$4:$G$19,3,FALSE))</f>
        <v>0.65</v>
      </c>
      <c r="I32" s="15">
        <f t="shared" si="0"/>
        <v>102.375</v>
      </c>
      <c r="J32" s="15">
        <f>IFERROR(VLOOKUP(B32,ARCHETYPE_DPS_BUDGET!$A$4:$G$19,4,FALSE),VLOOKUP("Fallback",ARCHETYPE_DPS_BUDGET!$A$4:$G$19,4,FALSE))</f>
        <v>1</v>
      </c>
      <c r="K32" s="15">
        <f t="shared" si="1"/>
        <v>102.375</v>
      </c>
      <c r="L32" s="15">
        <f>ENEMY_HP_CURVE!$B$4/I32</f>
        <v>9.7680097680097688</v>
      </c>
      <c r="M32" s="15">
        <f>ENEMY_HP_CURVE!$B$13/I32</f>
        <v>50.400784879120877</v>
      </c>
      <c r="N32" s="1" t="s">
        <v>1420</v>
      </c>
    </row>
    <row r="33" spans="1:14" x14ac:dyDescent="0.3">
      <c r="A33" t="s">
        <v>437</v>
      </c>
      <c r="B33" t="s">
        <v>1412</v>
      </c>
      <c r="C33" t="s">
        <v>1353</v>
      </c>
      <c r="D33" t="s">
        <v>396</v>
      </c>
      <c r="E33" t="s">
        <v>1354</v>
      </c>
      <c r="F33" s="15">
        <f>VLOOKUP("BasePower",BALANCE_INPUTS!$B$4:$C$18,2,FALSE)</f>
        <v>450</v>
      </c>
      <c r="G33" s="15">
        <f>IFERROR(VLOOKUP(B33,ARCHETYPE_DPS_BUDGET!$A$4:$G$19,2,FALSE),VLOOKUP("Fallback",ARCHETYPE_DPS_BUDGET!$A$4:$G$19,2,FALSE))</f>
        <v>0.85</v>
      </c>
      <c r="H33" s="15">
        <f>IFERROR(VLOOKUP(B33,ARCHETYPE_DPS_BUDGET!$A$4:$G$19,3,FALSE),VLOOKUP("Fallback",ARCHETYPE_DPS_BUDGET!$A$4:$G$19,3,FALSE))</f>
        <v>0.9</v>
      </c>
      <c r="I33" s="15">
        <f t="shared" si="0"/>
        <v>344.25</v>
      </c>
      <c r="J33" s="15">
        <f>IFERROR(VLOOKUP(B33,ARCHETYPE_DPS_BUDGET!$A$4:$G$19,4,FALSE),VLOOKUP("Fallback",ARCHETYPE_DPS_BUDGET!$A$4:$G$19,4,FALSE))</f>
        <v>1</v>
      </c>
      <c r="K33" s="15">
        <f t="shared" si="1"/>
        <v>344.25</v>
      </c>
      <c r="L33" s="15">
        <f>ENEMY_HP_CURVE!$B$4/I33</f>
        <v>2.9048656499636891</v>
      </c>
      <c r="M33" s="15">
        <f>ENEMY_HP_CURVE!$B$13/I33</f>
        <v>14.988468705882353</v>
      </c>
      <c r="N33" s="1" t="s">
        <v>1422</v>
      </c>
    </row>
    <row r="34" spans="1:14" x14ac:dyDescent="0.3">
      <c r="A34" t="s">
        <v>446</v>
      </c>
      <c r="B34" t="s">
        <v>1340</v>
      </c>
      <c r="C34" t="s">
        <v>1341</v>
      </c>
      <c r="D34" t="s">
        <v>184</v>
      </c>
      <c r="E34" t="s">
        <v>1342</v>
      </c>
      <c r="F34" s="15">
        <f>VLOOKUP("BasePower",BALANCE_INPUTS!$B$4:$C$18,2,FALSE)</f>
        <v>450</v>
      </c>
      <c r="G34" s="15">
        <f>IFERROR(VLOOKUP(B34,ARCHETYPE_DPS_BUDGET!$A$4:$G$19,2,FALSE),VLOOKUP("Fallback",ARCHETYPE_DPS_BUDGET!$A$4:$G$19,2,FALSE))</f>
        <v>0.7</v>
      </c>
      <c r="H34" s="15">
        <f>IFERROR(VLOOKUP(B34,ARCHETYPE_DPS_BUDGET!$A$4:$G$19,3,FALSE),VLOOKUP("Fallback",ARCHETYPE_DPS_BUDGET!$A$4:$G$19,3,FALSE))</f>
        <v>0.9</v>
      </c>
      <c r="I34" s="15">
        <f t="shared" si="0"/>
        <v>283.5</v>
      </c>
      <c r="J34" s="15">
        <f>IFERROR(VLOOKUP(B34,ARCHETYPE_DPS_BUDGET!$A$4:$G$19,4,FALSE),VLOOKUP("Fallback",ARCHETYPE_DPS_BUDGET!$A$4:$G$19,4,FALSE))</f>
        <v>1</v>
      </c>
      <c r="K34" s="15">
        <f t="shared" si="1"/>
        <v>283.5</v>
      </c>
      <c r="L34" s="15">
        <f>ENEMY_HP_CURVE!$B$4/I34</f>
        <v>3.5273368606701938</v>
      </c>
      <c r="M34" s="15">
        <f>ENEMY_HP_CURVE!$B$13/I34</f>
        <v>18.200283428571428</v>
      </c>
      <c r="N34" s="1" t="s">
        <v>1424</v>
      </c>
    </row>
    <row r="35" spans="1:14" x14ac:dyDescent="0.3">
      <c r="A35" t="s">
        <v>458</v>
      </c>
      <c r="B35" t="s">
        <v>1414</v>
      </c>
      <c r="C35" t="s">
        <v>1353</v>
      </c>
      <c r="D35" t="s">
        <v>244</v>
      </c>
      <c r="E35" t="s">
        <v>1354</v>
      </c>
      <c r="F35" s="15">
        <f>VLOOKUP("BasePower",BALANCE_INPUTS!$B$4:$C$18,2,FALSE)</f>
        <v>450</v>
      </c>
      <c r="G35" s="15">
        <f>IFERROR(VLOOKUP(B35,ARCHETYPE_DPS_BUDGET!$A$4:$G$19,2,FALSE),VLOOKUP("Fallback",ARCHETYPE_DPS_BUDGET!$A$4:$G$19,2,FALSE))</f>
        <v>0.85</v>
      </c>
      <c r="H35" s="15">
        <f>IFERROR(VLOOKUP(B35,ARCHETYPE_DPS_BUDGET!$A$4:$G$19,3,FALSE),VLOOKUP("Fallback",ARCHETYPE_DPS_BUDGET!$A$4:$G$19,3,FALSE))</f>
        <v>0.9</v>
      </c>
      <c r="I35" s="15">
        <f t="shared" si="0"/>
        <v>344.25</v>
      </c>
      <c r="J35" s="15">
        <f>IFERROR(VLOOKUP(B35,ARCHETYPE_DPS_BUDGET!$A$4:$G$19,4,FALSE),VLOOKUP("Fallback",ARCHETYPE_DPS_BUDGET!$A$4:$G$19,4,FALSE))</f>
        <v>1</v>
      </c>
      <c r="K35" s="15">
        <f t="shared" si="1"/>
        <v>344.25</v>
      </c>
      <c r="L35" s="15">
        <f>ENEMY_HP_CURVE!$B$4/I35</f>
        <v>2.9048656499636891</v>
      </c>
      <c r="M35" s="15">
        <f>ENEMY_HP_CURVE!$B$13/I35</f>
        <v>14.988468705882353</v>
      </c>
      <c r="N35" s="1" t="s">
        <v>1426</v>
      </c>
    </row>
    <row r="36" spans="1:14" x14ac:dyDescent="0.3">
      <c r="A36" t="s">
        <v>465</v>
      </c>
      <c r="B36" t="s">
        <v>1414</v>
      </c>
      <c r="C36" t="s">
        <v>1353</v>
      </c>
      <c r="D36" t="s">
        <v>244</v>
      </c>
      <c r="E36" t="s">
        <v>1354</v>
      </c>
      <c r="F36" s="15">
        <f>VLOOKUP("BasePower",BALANCE_INPUTS!$B$4:$C$18,2,FALSE)</f>
        <v>450</v>
      </c>
      <c r="G36" s="15">
        <f>IFERROR(VLOOKUP(B36,ARCHETYPE_DPS_BUDGET!$A$4:$G$19,2,FALSE),VLOOKUP("Fallback",ARCHETYPE_DPS_BUDGET!$A$4:$G$19,2,FALSE))</f>
        <v>0.85</v>
      </c>
      <c r="H36" s="15">
        <f>IFERROR(VLOOKUP(B36,ARCHETYPE_DPS_BUDGET!$A$4:$G$19,3,FALSE),VLOOKUP("Fallback",ARCHETYPE_DPS_BUDGET!$A$4:$G$19,3,FALSE))</f>
        <v>0.9</v>
      </c>
      <c r="I36" s="15">
        <f t="shared" ref="I36:I67" si="2">F36*G36*H36</f>
        <v>344.25</v>
      </c>
      <c r="J36" s="15">
        <f>IFERROR(VLOOKUP(B36,ARCHETYPE_DPS_BUDGET!$A$4:$G$19,4,FALSE),VLOOKUP("Fallback",ARCHETYPE_DPS_BUDGET!$A$4:$G$19,4,FALSE))</f>
        <v>1</v>
      </c>
      <c r="K36" s="15">
        <f t="shared" ref="K36:K67" si="3">I36*J36</f>
        <v>344.25</v>
      </c>
      <c r="L36" s="15">
        <f>ENEMY_HP_CURVE!$B$4/I36</f>
        <v>2.9048656499636891</v>
      </c>
      <c r="M36" s="15">
        <f>ENEMY_HP_CURVE!$B$13/I36</f>
        <v>14.988468705882353</v>
      </c>
      <c r="N36" s="1" t="s">
        <v>1427</v>
      </c>
    </row>
    <row r="37" spans="1:14" x14ac:dyDescent="0.3">
      <c r="A37" t="s">
        <v>472</v>
      </c>
      <c r="B37" t="s">
        <v>1398</v>
      </c>
      <c r="C37" t="s">
        <v>1341</v>
      </c>
      <c r="D37" t="s">
        <v>336</v>
      </c>
      <c r="E37" t="s">
        <v>1342</v>
      </c>
      <c r="F37" s="15">
        <f>VLOOKUP("BasePower",BALANCE_INPUTS!$B$4:$C$18,2,FALSE)</f>
        <v>450</v>
      </c>
      <c r="G37" s="15">
        <f>IFERROR(VLOOKUP(B37,ARCHETYPE_DPS_BUDGET!$A$4:$G$19,2,FALSE),VLOOKUP("Fallback",ARCHETYPE_DPS_BUDGET!$A$4:$G$19,2,FALSE))</f>
        <v>0.85</v>
      </c>
      <c r="H37" s="15">
        <f>IFERROR(VLOOKUP(B37,ARCHETYPE_DPS_BUDGET!$A$4:$G$19,3,FALSE),VLOOKUP("Fallback",ARCHETYPE_DPS_BUDGET!$A$4:$G$19,3,FALSE))</f>
        <v>0.9</v>
      </c>
      <c r="I37" s="15">
        <f t="shared" si="2"/>
        <v>344.25</v>
      </c>
      <c r="J37" s="15">
        <f>IFERROR(VLOOKUP(B37,ARCHETYPE_DPS_BUDGET!$A$4:$G$19,4,FALSE),VLOOKUP("Fallback",ARCHETYPE_DPS_BUDGET!$A$4:$G$19,4,FALSE))</f>
        <v>1</v>
      </c>
      <c r="K37" s="15">
        <f t="shared" si="3"/>
        <v>344.25</v>
      </c>
      <c r="L37" s="15">
        <f>ENEMY_HP_CURVE!$B$4/I37</f>
        <v>2.9048656499636891</v>
      </c>
      <c r="M37" s="15">
        <f>ENEMY_HP_CURVE!$B$13/I37</f>
        <v>14.988468705882353</v>
      </c>
      <c r="N37" s="1" t="s">
        <v>1428</v>
      </c>
    </row>
    <row r="38" spans="1:14" x14ac:dyDescent="0.3">
      <c r="A38" t="s">
        <v>477</v>
      </c>
      <c r="B38" t="s">
        <v>1318</v>
      </c>
      <c r="C38" t="s">
        <v>1319</v>
      </c>
      <c r="D38" t="s">
        <v>1328</v>
      </c>
      <c r="E38" t="s">
        <v>1320</v>
      </c>
      <c r="F38" s="15">
        <f>VLOOKUP("BasePower",BALANCE_INPUTS!$B$4:$C$18,2,FALSE)</f>
        <v>450</v>
      </c>
      <c r="G38" s="15">
        <f>IFERROR(VLOOKUP(B38,ARCHETYPE_DPS_BUDGET!$A$4:$G$19,2,FALSE),VLOOKUP("Fallback",ARCHETYPE_DPS_BUDGET!$A$4:$G$19,2,FALSE))</f>
        <v>0.35</v>
      </c>
      <c r="H38" s="15">
        <f>IFERROR(VLOOKUP(B38,ARCHETYPE_DPS_BUDGET!$A$4:$G$19,3,FALSE),VLOOKUP("Fallback",ARCHETYPE_DPS_BUDGET!$A$4:$G$19,3,FALSE))</f>
        <v>0.65</v>
      </c>
      <c r="I38" s="15">
        <f t="shared" si="2"/>
        <v>102.375</v>
      </c>
      <c r="J38" s="15">
        <f>IFERROR(VLOOKUP(B38,ARCHETYPE_DPS_BUDGET!$A$4:$G$19,4,FALSE),VLOOKUP("Fallback",ARCHETYPE_DPS_BUDGET!$A$4:$G$19,4,FALSE))</f>
        <v>1</v>
      </c>
      <c r="K38" s="15">
        <f t="shared" si="3"/>
        <v>102.375</v>
      </c>
      <c r="L38" s="15">
        <f>ENEMY_HP_CURVE!$B$4/I38</f>
        <v>9.7680097680097688</v>
      </c>
      <c r="M38" s="15">
        <f>ENEMY_HP_CURVE!$B$13/I38</f>
        <v>50.400784879120877</v>
      </c>
      <c r="N38" s="1" t="s">
        <v>1429</v>
      </c>
    </row>
    <row r="39" spans="1:14" x14ac:dyDescent="0.3">
      <c r="A39" t="s">
        <v>483</v>
      </c>
      <c r="B39" t="s">
        <v>1410</v>
      </c>
      <c r="C39" t="s">
        <v>1341</v>
      </c>
      <c r="D39" t="s">
        <v>1328</v>
      </c>
      <c r="E39" t="s">
        <v>1342</v>
      </c>
      <c r="F39" s="15">
        <f>VLOOKUP("BasePower",BALANCE_INPUTS!$B$4:$C$18,2,FALSE)</f>
        <v>450</v>
      </c>
      <c r="G39" s="15">
        <f>IFERROR(VLOOKUP(B39,ARCHETYPE_DPS_BUDGET!$A$4:$G$19,2,FALSE),VLOOKUP("Fallback",ARCHETYPE_DPS_BUDGET!$A$4:$G$19,2,FALSE))</f>
        <v>0.85</v>
      </c>
      <c r="H39" s="15">
        <f>IFERROR(VLOOKUP(B39,ARCHETYPE_DPS_BUDGET!$A$4:$G$19,3,FALSE),VLOOKUP("Fallback",ARCHETYPE_DPS_BUDGET!$A$4:$G$19,3,FALSE))</f>
        <v>0.9</v>
      </c>
      <c r="I39" s="15">
        <f t="shared" si="2"/>
        <v>344.25</v>
      </c>
      <c r="J39" s="15">
        <f>IFERROR(VLOOKUP(B39,ARCHETYPE_DPS_BUDGET!$A$4:$G$19,4,FALSE),VLOOKUP("Fallback",ARCHETYPE_DPS_BUDGET!$A$4:$G$19,4,FALSE))</f>
        <v>1</v>
      </c>
      <c r="K39" s="15">
        <f t="shared" si="3"/>
        <v>344.25</v>
      </c>
      <c r="L39" s="15">
        <f>ENEMY_HP_CURVE!$B$4/I39</f>
        <v>2.9048656499636891</v>
      </c>
      <c r="M39" s="15">
        <f>ENEMY_HP_CURVE!$B$13/I39</f>
        <v>14.988468705882353</v>
      </c>
      <c r="N39" s="1" t="s">
        <v>1430</v>
      </c>
    </row>
    <row r="40" spans="1:14" x14ac:dyDescent="0.3">
      <c r="A40" t="s">
        <v>489</v>
      </c>
      <c r="B40" t="s">
        <v>1431</v>
      </c>
      <c r="C40" t="s">
        <v>1353</v>
      </c>
      <c r="D40" t="s">
        <v>336</v>
      </c>
      <c r="E40" t="s">
        <v>1354</v>
      </c>
      <c r="F40" s="15">
        <f>VLOOKUP("BasePower",BALANCE_INPUTS!$B$4:$C$18,2,FALSE)</f>
        <v>450</v>
      </c>
      <c r="G40" s="15">
        <f>IFERROR(VLOOKUP(B40,ARCHETYPE_DPS_BUDGET!$A$4:$G$19,2,FALSE),VLOOKUP("Fallback",ARCHETYPE_DPS_BUDGET!$A$4:$G$19,2,FALSE))</f>
        <v>0.85</v>
      </c>
      <c r="H40" s="15">
        <f>IFERROR(VLOOKUP(B40,ARCHETYPE_DPS_BUDGET!$A$4:$G$19,3,FALSE),VLOOKUP("Fallback",ARCHETYPE_DPS_BUDGET!$A$4:$G$19,3,FALSE))</f>
        <v>0.9</v>
      </c>
      <c r="I40" s="15">
        <f t="shared" si="2"/>
        <v>344.25</v>
      </c>
      <c r="J40" s="15">
        <f>IFERROR(VLOOKUP(B40,ARCHETYPE_DPS_BUDGET!$A$4:$G$19,4,FALSE),VLOOKUP("Fallback",ARCHETYPE_DPS_BUDGET!$A$4:$G$19,4,FALSE))</f>
        <v>1</v>
      </c>
      <c r="K40" s="15">
        <f t="shared" si="3"/>
        <v>344.25</v>
      </c>
      <c r="L40" s="15">
        <f>ENEMY_HP_CURVE!$B$4/I40</f>
        <v>2.9048656499636891</v>
      </c>
      <c r="M40" s="15">
        <f>ENEMY_HP_CURVE!$B$13/I40</f>
        <v>14.988468705882353</v>
      </c>
      <c r="N40" s="1" t="s">
        <v>1432</v>
      </c>
    </row>
    <row r="41" spans="1:14" x14ac:dyDescent="0.3">
      <c r="A41" t="s">
        <v>500</v>
      </c>
      <c r="B41" t="s">
        <v>1386</v>
      </c>
      <c r="C41" t="s">
        <v>1353</v>
      </c>
      <c r="D41" t="s">
        <v>1328</v>
      </c>
      <c r="E41" t="s">
        <v>1354</v>
      </c>
      <c r="F41" s="15">
        <f>VLOOKUP("BasePower",BALANCE_INPUTS!$B$4:$C$18,2,FALSE)</f>
        <v>450</v>
      </c>
      <c r="G41" s="15">
        <f>IFERROR(VLOOKUP(B41,ARCHETYPE_DPS_BUDGET!$A$4:$G$19,2,FALSE),VLOOKUP("Fallback",ARCHETYPE_DPS_BUDGET!$A$4:$G$19,2,FALSE))</f>
        <v>1</v>
      </c>
      <c r="H41" s="15">
        <f>IFERROR(VLOOKUP(B41,ARCHETYPE_DPS_BUDGET!$A$4:$G$19,3,FALSE),VLOOKUP("Fallback",ARCHETYPE_DPS_BUDGET!$A$4:$G$19,3,FALSE))</f>
        <v>0.9</v>
      </c>
      <c r="I41" s="15">
        <f t="shared" si="2"/>
        <v>405</v>
      </c>
      <c r="J41" s="15">
        <f>IFERROR(VLOOKUP(B41,ARCHETYPE_DPS_BUDGET!$A$4:$G$19,4,FALSE),VLOOKUP("Fallback",ARCHETYPE_DPS_BUDGET!$A$4:$G$19,4,FALSE))</f>
        <v>1</v>
      </c>
      <c r="K41" s="15">
        <f t="shared" si="3"/>
        <v>405</v>
      </c>
      <c r="L41" s="15">
        <f>ENEMY_HP_CURVE!$B$4/I41</f>
        <v>2.4691358024691357</v>
      </c>
      <c r="M41" s="15">
        <f>ENEMY_HP_CURVE!$B$13/I41</f>
        <v>12.740198399999999</v>
      </c>
      <c r="N41" s="1" t="s">
        <v>1433</v>
      </c>
    </row>
    <row r="42" spans="1:14" x14ac:dyDescent="0.3">
      <c r="A42" t="s">
        <v>506</v>
      </c>
      <c r="B42" t="s">
        <v>1398</v>
      </c>
      <c r="C42" t="s">
        <v>1341</v>
      </c>
      <c r="D42" t="s">
        <v>336</v>
      </c>
      <c r="E42" t="s">
        <v>1342</v>
      </c>
      <c r="F42" s="15">
        <f>VLOOKUP("BasePower",BALANCE_INPUTS!$B$4:$C$18,2,FALSE)</f>
        <v>450</v>
      </c>
      <c r="G42" s="15">
        <f>IFERROR(VLOOKUP(B42,ARCHETYPE_DPS_BUDGET!$A$4:$G$19,2,FALSE),VLOOKUP("Fallback",ARCHETYPE_DPS_BUDGET!$A$4:$G$19,2,FALSE))</f>
        <v>0.85</v>
      </c>
      <c r="H42" s="15">
        <f>IFERROR(VLOOKUP(B42,ARCHETYPE_DPS_BUDGET!$A$4:$G$19,3,FALSE),VLOOKUP("Fallback",ARCHETYPE_DPS_BUDGET!$A$4:$G$19,3,FALSE))</f>
        <v>0.9</v>
      </c>
      <c r="I42" s="15">
        <f t="shared" si="2"/>
        <v>344.25</v>
      </c>
      <c r="J42" s="15">
        <f>IFERROR(VLOOKUP(B42,ARCHETYPE_DPS_BUDGET!$A$4:$G$19,4,FALSE),VLOOKUP("Fallback",ARCHETYPE_DPS_BUDGET!$A$4:$G$19,4,FALSE))</f>
        <v>1</v>
      </c>
      <c r="K42" s="15">
        <f t="shared" si="3"/>
        <v>344.25</v>
      </c>
      <c r="L42" s="15">
        <f>ENEMY_HP_CURVE!$B$4/I42</f>
        <v>2.9048656499636891</v>
      </c>
      <c r="M42" s="15">
        <f>ENEMY_HP_CURVE!$B$13/I42</f>
        <v>14.988468705882353</v>
      </c>
      <c r="N42" s="1" t="s">
        <v>1435</v>
      </c>
    </row>
    <row r="43" spans="1:14" x14ac:dyDescent="0.3">
      <c r="A43" t="s">
        <v>514</v>
      </c>
      <c r="B43" t="s">
        <v>1436</v>
      </c>
      <c r="C43" t="s">
        <v>1437</v>
      </c>
      <c r="D43" t="s">
        <v>244</v>
      </c>
      <c r="E43" t="s">
        <v>1438</v>
      </c>
      <c r="F43" s="15">
        <f>VLOOKUP("BasePower",BALANCE_INPUTS!$B$4:$C$18,2,FALSE)</f>
        <v>450</v>
      </c>
      <c r="G43" s="15">
        <f>IFERROR(VLOOKUP(B43,ARCHETYPE_DPS_BUDGET!$A$4:$G$19,2,FALSE),VLOOKUP("Fallback",ARCHETYPE_DPS_BUDGET!$A$4:$G$19,2,FALSE))</f>
        <v>0.6</v>
      </c>
      <c r="H43" s="15">
        <f>IFERROR(VLOOKUP(B43,ARCHETYPE_DPS_BUDGET!$A$4:$G$19,3,FALSE),VLOOKUP("Fallback",ARCHETYPE_DPS_BUDGET!$A$4:$G$19,3,FALSE))</f>
        <v>0.75</v>
      </c>
      <c r="I43" s="15">
        <f t="shared" si="2"/>
        <v>202.5</v>
      </c>
      <c r="J43" s="15">
        <f>IFERROR(VLOOKUP(B43,ARCHETYPE_DPS_BUDGET!$A$4:$G$19,4,FALSE),VLOOKUP("Fallback",ARCHETYPE_DPS_BUDGET!$A$4:$G$19,4,FALSE))</f>
        <v>0.85</v>
      </c>
      <c r="K43" s="15">
        <f t="shared" si="3"/>
        <v>172.125</v>
      </c>
      <c r="L43" s="15">
        <f>ENEMY_HP_CURVE!$B$4/I43</f>
        <v>4.9382716049382713</v>
      </c>
      <c r="M43" s="15">
        <f>ENEMY_HP_CURVE!$B$13/I43</f>
        <v>25.480396799999998</v>
      </c>
      <c r="N43" s="1" t="s">
        <v>1444</v>
      </c>
    </row>
    <row r="44" spans="1:14" x14ac:dyDescent="0.3">
      <c r="A44" t="s">
        <v>523</v>
      </c>
      <c r="B44" t="s">
        <v>1414</v>
      </c>
      <c r="C44" t="s">
        <v>1353</v>
      </c>
      <c r="D44" t="s">
        <v>244</v>
      </c>
      <c r="E44" t="s">
        <v>1354</v>
      </c>
      <c r="F44" s="15">
        <f>VLOOKUP("BasePower",BALANCE_INPUTS!$B$4:$C$18,2,FALSE)</f>
        <v>450</v>
      </c>
      <c r="G44" s="15">
        <f>IFERROR(VLOOKUP(B44,ARCHETYPE_DPS_BUDGET!$A$4:$G$19,2,FALSE),VLOOKUP("Fallback",ARCHETYPE_DPS_BUDGET!$A$4:$G$19,2,FALSE))</f>
        <v>0.85</v>
      </c>
      <c r="H44" s="15">
        <f>IFERROR(VLOOKUP(B44,ARCHETYPE_DPS_BUDGET!$A$4:$G$19,3,FALSE),VLOOKUP("Fallback",ARCHETYPE_DPS_BUDGET!$A$4:$G$19,3,FALSE))</f>
        <v>0.9</v>
      </c>
      <c r="I44" s="15">
        <f t="shared" si="2"/>
        <v>344.25</v>
      </c>
      <c r="J44" s="15">
        <f>IFERROR(VLOOKUP(B44,ARCHETYPE_DPS_BUDGET!$A$4:$G$19,4,FALSE),VLOOKUP("Fallback",ARCHETYPE_DPS_BUDGET!$A$4:$G$19,4,FALSE))</f>
        <v>1</v>
      </c>
      <c r="K44" s="15">
        <f t="shared" si="3"/>
        <v>344.25</v>
      </c>
      <c r="L44" s="15">
        <f>ENEMY_HP_CURVE!$B$4/I44</f>
        <v>2.9048656499636891</v>
      </c>
      <c r="M44" s="15">
        <f>ENEMY_HP_CURVE!$B$13/I44</f>
        <v>14.988468705882353</v>
      </c>
      <c r="N44" s="1" t="s">
        <v>1446</v>
      </c>
    </row>
    <row r="45" spans="1:14" x14ac:dyDescent="0.3">
      <c r="A45" t="s">
        <v>532</v>
      </c>
      <c r="B45" t="s">
        <v>1318</v>
      </c>
      <c r="C45" t="s">
        <v>1319</v>
      </c>
      <c r="D45" t="s">
        <v>336</v>
      </c>
      <c r="E45" t="s">
        <v>1320</v>
      </c>
      <c r="F45" s="15">
        <f>VLOOKUP("BasePower",BALANCE_INPUTS!$B$4:$C$18,2,FALSE)</f>
        <v>450</v>
      </c>
      <c r="G45" s="15">
        <f>IFERROR(VLOOKUP(B45,ARCHETYPE_DPS_BUDGET!$A$4:$G$19,2,FALSE),VLOOKUP("Fallback",ARCHETYPE_DPS_BUDGET!$A$4:$G$19,2,FALSE))</f>
        <v>0.35</v>
      </c>
      <c r="H45" s="15">
        <f>IFERROR(VLOOKUP(B45,ARCHETYPE_DPS_BUDGET!$A$4:$G$19,3,FALSE),VLOOKUP("Fallback",ARCHETYPE_DPS_BUDGET!$A$4:$G$19,3,FALSE))</f>
        <v>0.65</v>
      </c>
      <c r="I45" s="15">
        <f t="shared" si="2"/>
        <v>102.375</v>
      </c>
      <c r="J45" s="15">
        <f>IFERROR(VLOOKUP(B45,ARCHETYPE_DPS_BUDGET!$A$4:$G$19,4,FALSE),VLOOKUP("Fallback",ARCHETYPE_DPS_BUDGET!$A$4:$G$19,4,FALSE))</f>
        <v>1</v>
      </c>
      <c r="K45" s="15">
        <f t="shared" si="3"/>
        <v>102.375</v>
      </c>
      <c r="L45" s="15">
        <f>ENEMY_HP_CURVE!$B$4/I45</f>
        <v>9.7680097680097688</v>
      </c>
      <c r="M45" s="15">
        <f>ENEMY_HP_CURVE!$B$13/I45</f>
        <v>50.400784879120877</v>
      </c>
      <c r="N45" s="1" t="s">
        <v>1448</v>
      </c>
    </row>
    <row r="46" spans="1:14" x14ac:dyDescent="0.3">
      <c r="A46" t="s">
        <v>542</v>
      </c>
      <c r="B46" t="s">
        <v>1352</v>
      </c>
      <c r="C46" t="s">
        <v>1353</v>
      </c>
      <c r="D46" t="s">
        <v>154</v>
      </c>
      <c r="E46" t="s">
        <v>1354</v>
      </c>
      <c r="F46" s="15">
        <f>VLOOKUP("BasePower",BALANCE_INPUTS!$B$4:$C$18,2,FALSE)</f>
        <v>450</v>
      </c>
      <c r="G46" s="15">
        <f>IFERROR(VLOOKUP(B46,ARCHETYPE_DPS_BUDGET!$A$4:$G$19,2,FALSE),VLOOKUP("Fallback",ARCHETYPE_DPS_BUDGET!$A$4:$G$19,2,FALSE))</f>
        <v>1</v>
      </c>
      <c r="H46" s="15">
        <f>IFERROR(VLOOKUP(B46,ARCHETYPE_DPS_BUDGET!$A$4:$G$19,3,FALSE),VLOOKUP("Fallback",ARCHETYPE_DPS_BUDGET!$A$4:$G$19,3,FALSE))</f>
        <v>0.9</v>
      </c>
      <c r="I46" s="15">
        <f t="shared" si="2"/>
        <v>405</v>
      </c>
      <c r="J46" s="15">
        <f>IFERROR(VLOOKUP(B46,ARCHETYPE_DPS_BUDGET!$A$4:$G$19,4,FALSE),VLOOKUP("Fallback",ARCHETYPE_DPS_BUDGET!$A$4:$G$19,4,FALSE))</f>
        <v>1</v>
      </c>
      <c r="K46" s="15">
        <f t="shared" si="3"/>
        <v>405</v>
      </c>
      <c r="L46" s="15">
        <f>ENEMY_HP_CURVE!$B$4/I46</f>
        <v>2.4691358024691357</v>
      </c>
      <c r="M46" s="15">
        <f>ENEMY_HP_CURVE!$B$13/I46</f>
        <v>12.740198399999999</v>
      </c>
      <c r="N46" s="1" t="s">
        <v>1449</v>
      </c>
    </row>
    <row r="47" spans="1:14" x14ac:dyDescent="0.3">
      <c r="A47" t="s">
        <v>547</v>
      </c>
      <c r="B47" t="s">
        <v>1412</v>
      </c>
      <c r="C47" t="s">
        <v>1353</v>
      </c>
      <c r="D47" t="s">
        <v>396</v>
      </c>
      <c r="E47" t="s">
        <v>1354</v>
      </c>
      <c r="F47" s="15">
        <f>VLOOKUP("BasePower",BALANCE_INPUTS!$B$4:$C$18,2,FALSE)</f>
        <v>450</v>
      </c>
      <c r="G47" s="15">
        <f>IFERROR(VLOOKUP(B47,ARCHETYPE_DPS_BUDGET!$A$4:$G$19,2,FALSE),VLOOKUP("Fallback",ARCHETYPE_DPS_BUDGET!$A$4:$G$19,2,FALSE))</f>
        <v>0.85</v>
      </c>
      <c r="H47" s="15">
        <f>IFERROR(VLOOKUP(B47,ARCHETYPE_DPS_BUDGET!$A$4:$G$19,3,FALSE),VLOOKUP("Fallback",ARCHETYPE_DPS_BUDGET!$A$4:$G$19,3,FALSE))</f>
        <v>0.9</v>
      </c>
      <c r="I47" s="15">
        <f t="shared" si="2"/>
        <v>344.25</v>
      </c>
      <c r="J47" s="15">
        <f>IFERROR(VLOOKUP(B47,ARCHETYPE_DPS_BUDGET!$A$4:$G$19,4,FALSE),VLOOKUP("Fallback",ARCHETYPE_DPS_BUDGET!$A$4:$G$19,4,FALSE))</f>
        <v>1</v>
      </c>
      <c r="K47" s="15">
        <f t="shared" si="3"/>
        <v>344.25</v>
      </c>
      <c r="L47" s="15">
        <f>ENEMY_HP_CURVE!$B$4/I47</f>
        <v>2.9048656499636891</v>
      </c>
      <c r="M47" s="15">
        <f>ENEMY_HP_CURVE!$B$13/I47</f>
        <v>14.988468705882353</v>
      </c>
      <c r="N47" s="1" t="s">
        <v>1450</v>
      </c>
    </row>
    <row r="48" spans="1:14" x14ac:dyDescent="0.3">
      <c r="A48" t="s">
        <v>553</v>
      </c>
      <c r="B48" t="s">
        <v>1352</v>
      </c>
      <c r="C48" t="s">
        <v>1353</v>
      </c>
      <c r="D48" t="s">
        <v>154</v>
      </c>
      <c r="E48" t="s">
        <v>1354</v>
      </c>
      <c r="F48" s="15">
        <f>VLOOKUP("BasePower",BALANCE_INPUTS!$B$4:$C$18,2,FALSE)</f>
        <v>450</v>
      </c>
      <c r="G48" s="15">
        <f>IFERROR(VLOOKUP(B48,ARCHETYPE_DPS_BUDGET!$A$4:$G$19,2,FALSE),VLOOKUP("Fallback",ARCHETYPE_DPS_BUDGET!$A$4:$G$19,2,FALSE))</f>
        <v>1</v>
      </c>
      <c r="H48" s="15">
        <f>IFERROR(VLOOKUP(B48,ARCHETYPE_DPS_BUDGET!$A$4:$G$19,3,FALSE),VLOOKUP("Fallback",ARCHETYPE_DPS_BUDGET!$A$4:$G$19,3,FALSE))</f>
        <v>0.9</v>
      </c>
      <c r="I48" s="15">
        <f t="shared" si="2"/>
        <v>405</v>
      </c>
      <c r="J48" s="15">
        <f>IFERROR(VLOOKUP(B48,ARCHETYPE_DPS_BUDGET!$A$4:$G$19,4,FALSE),VLOOKUP("Fallback",ARCHETYPE_DPS_BUDGET!$A$4:$G$19,4,FALSE))</f>
        <v>1</v>
      </c>
      <c r="K48" s="15">
        <f t="shared" si="3"/>
        <v>405</v>
      </c>
      <c r="L48" s="15">
        <f>ENEMY_HP_CURVE!$B$4/I48</f>
        <v>2.4691358024691357</v>
      </c>
      <c r="M48" s="15">
        <f>ENEMY_HP_CURVE!$B$13/I48</f>
        <v>12.740198399999999</v>
      </c>
      <c r="N48" s="1" t="s">
        <v>1451</v>
      </c>
    </row>
    <row r="49" spans="1:14" x14ac:dyDescent="0.3">
      <c r="A49" t="s">
        <v>564</v>
      </c>
      <c r="B49" t="s">
        <v>1431</v>
      </c>
      <c r="C49" t="s">
        <v>1353</v>
      </c>
      <c r="D49" t="s">
        <v>336</v>
      </c>
      <c r="E49" t="s">
        <v>1354</v>
      </c>
      <c r="F49" s="15">
        <f>VLOOKUP("BasePower",BALANCE_INPUTS!$B$4:$C$18,2,FALSE)</f>
        <v>450</v>
      </c>
      <c r="G49" s="15">
        <f>IFERROR(VLOOKUP(B49,ARCHETYPE_DPS_BUDGET!$A$4:$G$19,2,FALSE),VLOOKUP("Fallback",ARCHETYPE_DPS_BUDGET!$A$4:$G$19,2,FALSE))</f>
        <v>0.85</v>
      </c>
      <c r="H49" s="15">
        <f>IFERROR(VLOOKUP(B49,ARCHETYPE_DPS_BUDGET!$A$4:$G$19,3,FALSE),VLOOKUP("Fallback",ARCHETYPE_DPS_BUDGET!$A$4:$G$19,3,FALSE))</f>
        <v>0.9</v>
      </c>
      <c r="I49" s="15">
        <f t="shared" si="2"/>
        <v>344.25</v>
      </c>
      <c r="J49" s="15">
        <f>IFERROR(VLOOKUP(B49,ARCHETYPE_DPS_BUDGET!$A$4:$G$19,4,FALSE),VLOOKUP("Fallback",ARCHETYPE_DPS_BUDGET!$A$4:$G$19,4,FALSE))</f>
        <v>1</v>
      </c>
      <c r="K49" s="15">
        <f t="shared" si="3"/>
        <v>344.25</v>
      </c>
      <c r="L49" s="15">
        <f>ENEMY_HP_CURVE!$B$4/I49</f>
        <v>2.9048656499636891</v>
      </c>
      <c r="M49" s="15">
        <f>ENEMY_HP_CURVE!$B$13/I49</f>
        <v>14.988468705882353</v>
      </c>
      <c r="N49" s="1" t="s">
        <v>1452</v>
      </c>
    </row>
    <row r="50" spans="1:14" x14ac:dyDescent="0.3">
      <c r="A50" t="s">
        <v>571</v>
      </c>
      <c r="B50" t="s">
        <v>1412</v>
      </c>
      <c r="C50" t="s">
        <v>1353</v>
      </c>
      <c r="D50" t="s">
        <v>396</v>
      </c>
      <c r="E50" t="s">
        <v>1354</v>
      </c>
      <c r="F50" s="15">
        <f>VLOOKUP("BasePower",BALANCE_INPUTS!$B$4:$C$18,2,FALSE)</f>
        <v>450</v>
      </c>
      <c r="G50" s="15">
        <f>IFERROR(VLOOKUP(B50,ARCHETYPE_DPS_BUDGET!$A$4:$G$19,2,FALSE),VLOOKUP("Fallback",ARCHETYPE_DPS_BUDGET!$A$4:$G$19,2,FALSE))</f>
        <v>0.85</v>
      </c>
      <c r="H50" s="15">
        <f>IFERROR(VLOOKUP(B50,ARCHETYPE_DPS_BUDGET!$A$4:$G$19,3,FALSE),VLOOKUP("Fallback",ARCHETYPE_DPS_BUDGET!$A$4:$G$19,3,FALSE))</f>
        <v>0.9</v>
      </c>
      <c r="I50" s="15">
        <f t="shared" si="2"/>
        <v>344.25</v>
      </c>
      <c r="J50" s="15">
        <f>IFERROR(VLOOKUP(B50,ARCHETYPE_DPS_BUDGET!$A$4:$G$19,4,FALSE),VLOOKUP("Fallback",ARCHETYPE_DPS_BUDGET!$A$4:$G$19,4,FALSE))</f>
        <v>1</v>
      </c>
      <c r="K50" s="15">
        <f t="shared" si="3"/>
        <v>344.25</v>
      </c>
      <c r="L50" s="15">
        <f>ENEMY_HP_CURVE!$B$4/I50</f>
        <v>2.9048656499636891</v>
      </c>
      <c r="M50" s="15">
        <f>ENEMY_HP_CURVE!$B$13/I50</f>
        <v>14.988468705882353</v>
      </c>
      <c r="N50" s="1" t="s">
        <v>1454</v>
      </c>
    </row>
    <row r="51" spans="1:14" x14ac:dyDescent="0.3">
      <c r="A51" t="s">
        <v>580</v>
      </c>
      <c r="B51" t="s">
        <v>1318</v>
      </c>
      <c r="C51" t="s">
        <v>1319</v>
      </c>
      <c r="D51" t="s">
        <v>244</v>
      </c>
      <c r="E51" t="s">
        <v>1320</v>
      </c>
      <c r="F51" s="15">
        <f>VLOOKUP("BasePower",BALANCE_INPUTS!$B$4:$C$18,2,FALSE)</f>
        <v>450</v>
      </c>
      <c r="G51" s="15">
        <f>IFERROR(VLOOKUP(B51,ARCHETYPE_DPS_BUDGET!$A$4:$G$19,2,FALSE),VLOOKUP("Fallback",ARCHETYPE_DPS_BUDGET!$A$4:$G$19,2,FALSE))</f>
        <v>0.35</v>
      </c>
      <c r="H51" s="15">
        <f>IFERROR(VLOOKUP(B51,ARCHETYPE_DPS_BUDGET!$A$4:$G$19,3,FALSE),VLOOKUP("Fallback",ARCHETYPE_DPS_BUDGET!$A$4:$G$19,3,FALSE))</f>
        <v>0.65</v>
      </c>
      <c r="I51" s="15">
        <f t="shared" si="2"/>
        <v>102.375</v>
      </c>
      <c r="J51" s="15">
        <f>IFERROR(VLOOKUP(B51,ARCHETYPE_DPS_BUDGET!$A$4:$G$19,4,FALSE),VLOOKUP("Fallback",ARCHETYPE_DPS_BUDGET!$A$4:$G$19,4,FALSE))</f>
        <v>1</v>
      </c>
      <c r="K51" s="15">
        <f t="shared" si="3"/>
        <v>102.375</v>
      </c>
      <c r="L51" s="15">
        <f>ENEMY_HP_CURVE!$B$4/I51</f>
        <v>9.7680097680097688</v>
      </c>
      <c r="M51" s="15">
        <f>ENEMY_HP_CURVE!$B$13/I51</f>
        <v>50.400784879120877</v>
      </c>
      <c r="N51" s="1" t="s">
        <v>1455</v>
      </c>
    </row>
    <row r="52" spans="1:14" x14ac:dyDescent="0.3">
      <c r="A52" t="s">
        <v>586</v>
      </c>
      <c r="B52" t="s">
        <v>1386</v>
      </c>
      <c r="C52" t="s">
        <v>1353</v>
      </c>
      <c r="D52" t="s">
        <v>1328</v>
      </c>
      <c r="E52" t="s">
        <v>1354</v>
      </c>
      <c r="F52" s="15">
        <f>VLOOKUP("BasePower",BALANCE_INPUTS!$B$4:$C$18,2,FALSE)</f>
        <v>450</v>
      </c>
      <c r="G52" s="15">
        <f>IFERROR(VLOOKUP(B52,ARCHETYPE_DPS_BUDGET!$A$4:$G$19,2,FALSE),VLOOKUP("Fallback",ARCHETYPE_DPS_BUDGET!$A$4:$G$19,2,FALSE))</f>
        <v>1</v>
      </c>
      <c r="H52" s="15">
        <f>IFERROR(VLOOKUP(B52,ARCHETYPE_DPS_BUDGET!$A$4:$G$19,3,FALSE),VLOOKUP("Fallback",ARCHETYPE_DPS_BUDGET!$A$4:$G$19,3,FALSE))</f>
        <v>0.9</v>
      </c>
      <c r="I52" s="15">
        <f t="shared" si="2"/>
        <v>405</v>
      </c>
      <c r="J52" s="15">
        <f>IFERROR(VLOOKUP(B52,ARCHETYPE_DPS_BUDGET!$A$4:$G$19,4,FALSE),VLOOKUP("Fallback",ARCHETYPE_DPS_BUDGET!$A$4:$G$19,4,FALSE))</f>
        <v>1</v>
      </c>
      <c r="K52" s="15">
        <f t="shared" si="3"/>
        <v>405</v>
      </c>
      <c r="L52" s="15">
        <f>ENEMY_HP_CURVE!$B$4/I52</f>
        <v>2.4691358024691357</v>
      </c>
      <c r="M52" s="15">
        <f>ENEMY_HP_CURVE!$B$13/I52</f>
        <v>12.740198399999999</v>
      </c>
      <c r="N52" s="1" t="s">
        <v>1456</v>
      </c>
    </row>
    <row r="53" spans="1:14" x14ac:dyDescent="0.3">
      <c r="A53" t="s">
        <v>594</v>
      </c>
      <c r="B53" t="s">
        <v>1410</v>
      </c>
      <c r="C53" t="s">
        <v>1341</v>
      </c>
      <c r="D53" t="s">
        <v>1328</v>
      </c>
      <c r="E53" t="s">
        <v>1342</v>
      </c>
      <c r="F53" s="15">
        <f>VLOOKUP("BasePower",BALANCE_INPUTS!$B$4:$C$18,2,FALSE)</f>
        <v>450</v>
      </c>
      <c r="G53" s="15">
        <f>IFERROR(VLOOKUP(B53,ARCHETYPE_DPS_BUDGET!$A$4:$G$19,2,FALSE),VLOOKUP("Fallback",ARCHETYPE_DPS_BUDGET!$A$4:$G$19,2,FALSE))</f>
        <v>0.85</v>
      </c>
      <c r="H53" s="15">
        <f>IFERROR(VLOOKUP(B53,ARCHETYPE_DPS_BUDGET!$A$4:$G$19,3,FALSE),VLOOKUP("Fallback",ARCHETYPE_DPS_BUDGET!$A$4:$G$19,3,FALSE))</f>
        <v>0.9</v>
      </c>
      <c r="I53" s="15">
        <f t="shared" si="2"/>
        <v>344.25</v>
      </c>
      <c r="J53" s="15">
        <f>IFERROR(VLOOKUP(B53,ARCHETYPE_DPS_BUDGET!$A$4:$G$19,4,FALSE),VLOOKUP("Fallback",ARCHETYPE_DPS_BUDGET!$A$4:$G$19,4,FALSE))</f>
        <v>1</v>
      </c>
      <c r="K53" s="15">
        <f t="shared" si="3"/>
        <v>344.25</v>
      </c>
      <c r="L53" s="15">
        <f>ENEMY_HP_CURVE!$B$4/I53</f>
        <v>2.9048656499636891</v>
      </c>
      <c r="M53" s="15">
        <f>ENEMY_HP_CURVE!$B$13/I53</f>
        <v>14.988468705882353</v>
      </c>
      <c r="N53" s="1" t="s">
        <v>1457</v>
      </c>
    </row>
    <row r="54" spans="1:14" x14ac:dyDescent="0.3">
      <c r="A54" t="s">
        <v>602</v>
      </c>
      <c r="B54" t="s">
        <v>1436</v>
      </c>
      <c r="C54" t="s">
        <v>1437</v>
      </c>
      <c r="D54" t="s">
        <v>244</v>
      </c>
      <c r="E54" t="s">
        <v>1438</v>
      </c>
      <c r="F54" s="15">
        <f>VLOOKUP("BasePower",BALANCE_INPUTS!$B$4:$C$18,2,FALSE)</f>
        <v>450</v>
      </c>
      <c r="G54" s="15">
        <f>IFERROR(VLOOKUP(B54,ARCHETYPE_DPS_BUDGET!$A$4:$G$19,2,FALSE),VLOOKUP("Fallback",ARCHETYPE_DPS_BUDGET!$A$4:$G$19,2,FALSE))</f>
        <v>0.6</v>
      </c>
      <c r="H54" s="15">
        <f>IFERROR(VLOOKUP(B54,ARCHETYPE_DPS_BUDGET!$A$4:$G$19,3,FALSE),VLOOKUP("Fallback",ARCHETYPE_DPS_BUDGET!$A$4:$G$19,3,FALSE))</f>
        <v>0.75</v>
      </c>
      <c r="I54" s="15">
        <f t="shared" si="2"/>
        <v>202.5</v>
      </c>
      <c r="J54" s="15">
        <f>IFERROR(VLOOKUP(B54,ARCHETYPE_DPS_BUDGET!$A$4:$G$19,4,FALSE),VLOOKUP("Fallback",ARCHETYPE_DPS_BUDGET!$A$4:$G$19,4,FALSE))</f>
        <v>0.85</v>
      </c>
      <c r="K54" s="15">
        <f t="shared" si="3"/>
        <v>172.125</v>
      </c>
      <c r="L54" s="15">
        <f>ENEMY_HP_CURVE!$B$4/I54</f>
        <v>4.9382716049382713</v>
      </c>
      <c r="M54" s="15">
        <f>ENEMY_HP_CURVE!$B$13/I54</f>
        <v>25.480396799999998</v>
      </c>
      <c r="N54" s="1" t="s">
        <v>1460</v>
      </c>
    </row>
    <row r="55" spans="1:14" x14ac:dyDescent="0.3">
      <c r="A55" t="s">
        <v>611</v>
      </c>
      <c r="B55" t="s">
        <v>1366</v>
      </c>
      <c r="C55" t="s">
        <v>1367</v>
      </c>
      <c r="D55" t="s">
        <v>1328</v>
      </c>
      <c r="E55" t="s">
        <v>1368</v>
      </c>
      <c r="F55" s="15">
        <f>VLOOKUP("BasePower",BALANCE_INPUTS!$B$4:$C$18,2,FALSE)</f>
        <v>450</v>
      </c>
      <c r="G55" s="15">
        <f>IFERROR(VLOOKUP(B55,ARCHETYPE_DPS_BUDGET!$A$4:$G$19,2,FALSE),VLOOKUP("Fallback",ARCHETYPE_DPS_BUDGET!$A$4:$G$19,2,FALSE))</f>
        <v>0.85</v>
      </c>
      <c r="H55" s="15">
        <f>IFERROR(VLOOKUP(B55,ARCHETYPE_DPS_BUDGET!$A$4:$G$19,3,FALSE),VLOOKUP("Fallback",ARCHETYPE_DPS_BUDGET!$A$4:$G$19,3,FALSE))</f>
        <v>0.9</v>
      </c>
      <c r="I55" s="15">
        <f t="shared" si="2"/>
        <v>344.25</v>
      </c>
      <c r="J55" s="15">
        <f>IFERROR(VLOOKUP(B55,ARCHETYPE_DPS_BUDGET!$A$4:$G$19,4,FALSE),VLOOKUP("Fallback",ARCHETYPE_DPS_BUDGET!$A$4:$G$19,4,FALSE))</f>
        <v>1</v>
      </c>
      <c r="K55" s="15">
        <f t="shared" si="3"/>
        <v>344.25</v>
      </c>
      <c r="L55" s="15">
        <f>ENEMY_HP_CURVE!$B$4/I55</f>
        <v>2.9048656499636891</v>
      </c>
      <c r="M55" s="15">
        <f>ENEMY_HP_CURVE!$B$13/I55</f>
        <v>14.988468705882353</v>
      </c>
      <c r="N55" s="1" t="s">
        <v>1463</v>
      </c>
    </row>
    <row r="56" spans="1:14" x14ac:dyDescent="0.3">
      <c r="A56" t="s">
        <v>618</v>
      </c>
      <c r="B56" t="s">
        <v>1392</v>
      </c>
      <c r="C56" t="s">
        <v>1341</v>
      </c>
      <c r="D56" t="s">
        <v>154</v>
      </c>
      <c r="E56" t="s">
        <v>1342</v>
      </c>
      <c r="F56" s="15">
        <f>VLOOKUP("BasePower",BALANCE_INPUTS!$B$4:$C$18,2,FALSE)</f>
        <v>450</v>
      </c>
      <c r="G56" s="15">
        <f>IFERROR(VLOOKUP(B56,ARCHETYPE_DPS_BUDGET!$A$4:$G$19,2,FALSE),VLOOKUP("Fallback",ARCHETYPE_DPS_BUDGET!$A$4:$G$19,2,FALSE))</f>
        <v>0.85</v>
      </c>
      <c r="H56" s="15">
        <f>IFERROR(VLOOKUP(B56,ARCHETYPE_DPS_BUDGET!$A$4:$G$19,3,FALSE),VLOOKUP("Fallback",ARCHETYPE_DPS_BUDGET!$A$4:$G$19,3,FALSE))</f>
        <v>0.9</v>
      </c>
      <c r="I56" s="15">
        <f t="shared" si="2"/>
        <v>344.25</v>
      </c>
      <c r="J56" s="15">
        <f>IFERROR(VLOOKUP(B56,ARCHETYPE_DPS_BUDGET!$A$4:$G$19,4,FALSE),VLOOKUP("Fallback",ARCHETYPE_DPS_BUDGET!$A$4:$G$19,4,FALSE))</f>
        <v>1</v>
      </c>
      <c r="K56" s="15">
        <f t="shared" si="3"/>
        <v>344.25</v>
      </c>
      <c r="L56" s="15">
        <f>ENEMY_HP_CURVE!$B$4/I56</f>
        <v>2.9048656499636891</v>
      </c>
      <c r="M56" s="15">
        <f>ENEMY_HP_CURVE!$B$13/I56</f>
        <v>14.988468705882353</v>
      </c>
      <c r="N56" s="1" t="s">
        <v>1465</v>
      </c>
    </row>
    <row r="57" spans="1:14" x14ac:dyDescent="0.3">
      <c r="A57" t="s">
        <v>622</v>
      </c>
      <c r="B57" t="s">
        <v>1366</v>
      </c>
      <c r="C57" t="s">
        <v>1367</v>
      </c>
      <c r="D57" t="s">
        <v>184</v>
      </c>
      <c r="E57" t="s">
        <v>1368</v>
      </c>
      <c r="F57" s="15">
        <f>VLOOKUP("BasePower",BALANCE_INPUTS!$B$4:$C$18,2,FALSE)</f>
        <v>450</v>
      </c>
      <c r="G57" s="15">
        <f>IFERROR(VLOOKUP(B57,ARCHETYPE_DPS_BUDGET!$A$4:$G$19,2,FALSE),VLOOKUP("Fallback",ARCHETYPE_DPS_BUDGET!$A$4:$G$19,2,FALSE))</f>
        <v>0.85</v>
      </c>
      <c r="H57" s="15">
        <f>IFERROR(VLOOKUP(B57,ARCHETYPE_DPS_BUDGET!$A$4:$G$19,3,FALSE),VLOOKUP("Fallback",ARCHETYPE_DPS_BUDGET!$A$4:$G$19,3,FALSE))</f>
        <v>0.9</v>
      </c>
      <c r="I57" s="15">
        <f t="shared" si="2"/>
        <v>344.25</v>
      </c>
      <c r="J57" s="15">
        <f>IFERROR(VLOOKUP(B57,ARCHETYPE_DPS_BUDGET!$A$4:$G$19,4,FALSE),VLOOKUP("Fallback",ARCHETYPE_DPS_BUDGET!$A$4:$G$19,4,FALSE))</f>
        <v>1</v>
      </c>
      <c r="K57" s="15">
        <f t="shared" si="3"/>
        <v>344.25</v>
      </c>
      <c r="L57" s="15">
        <f>ENEMY_HP_CURVE!$B$4/I57</f>
        <v>2.9048656499636891</v>
      </c>
      <c r="M57" s="15">
        <f>ENEMY_HP_CURVE!$B$13/I57</f>
        <v>14.988468705882353</v>
      </c>
      <c r="N57" s="1" t="s">
        <v>1468</v>
      </c>
    </row>
    <row r="58" spans="1:14" x14ac:dyDescent="0.3">
      <c r="A58" t="s">
        <v>627</v>
      </c>
      <c r="B58" t="s">
        <v>1471</v>
      </c>
      <c r="C58" t="s">
        <v>1341</v>
      </c>
      <c r="D58" t="s">
        <v>396</v>
      </c>
      <c r="E58" t="s">
        <v>1342</v>
      </c>
      <c r="F58" s="15">
        <f>VLOOKUP("BasePower",BALANCE_INPUTS!$B$4:$C$18,2,FALSE)</f>
        <v>450</v>
      </c>
      <c r="G58" s="15">
        <f>IFERROR(VLOOKUP(B58,ARCHETYPE_DPS_BUDGET!$A$4:$G$19,2,FALSE),VLOOKUP("Fallback",ARCHETYPE_DPS_BUDGET!$A$4:$G$19,2,FALSE))</f>
        <v>0.85</v>
      </c>
      <c r="H58" s="15">
        <f>IFERROR(VLOOKUP(B58,ARCHETYPE_DPS_BUDGET!$A$4:$G$19,3,FALSE),VLOOKUP("Fallback",ARCHETYPE_DPS_BUDGET!$A$4:$G$19,3,FALSE))</f>
        <v>0.9</v>
      </c>
      <c r="I58" s="15">
        <f t="shared" si="2"/>
        <v>344.25</v>
      </c>
      <c r="J58" s="15">
        <f>IFERROR(VLOOKUP(B58,ARCHETYPE_DPS_BUDGET!$A$4:$G$19,4,FALSE),VLOOKUP("Fallback",ARCHETYPE_DPS_BUDGET!$A$4:$G$19,4,FALSE))</f>
        <v>1</v>
      </c>
      <c r="K58" s="15">
        <f t="shared" si="3"/>
        <v>344.25</v>
      </c>
      <c r="L58" s="15">
        <f>ENEMY_HP_CURVE!$B$4/I58</f>
        <v>2.9048656499636891</v>
      </c>
      <c r="M58" s="15">
        <f>ENEMY_HP_CURVE!$B$13/I58</f>
        <v>14.988468705882353</v>
      </c>
      <c r="N58" s="1" t="s">
        <v>1473</v>
      </c>
    </row>
  </sheetData>
  <mergeCells count="1">
    <mergeCell ref="A1:N1"/>
  </mergeCells>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9"/>
  <sheetViews>
    <sheetView workbookViewId="0">
      <selection activeCell="D4" sqref="D4"/>
    </sheetView>
  </sheetViews>
  <sheetFormatPr defaultRowHeight="16.5" x14ac:dyDescent="0.3"/>
  <cols>
    <col min="1" max="1" width="33.125" customWidth="1"/>
    <col min="2" max="2" width="9.875" bestFit="1" customWidth="1"/>
    <col min="4" max="4" width="18.75" customWidth="1"/>
    <col min="5" max="5" width="4.5" customWidth="1"/>
    <col min="6" max="6" width="7" customWidth="1"/>
    <col min="7" max="7" width="9.125" customWidth="1"/>
    <col min="8" max="8" width="8.625" customWidth="1"/>
  </cols>
  <sheetData>
    <row r="1" spans="1:8" ht="20.25" x14ac:dyDescent="0.3">
      <c r="A1" s="16" t="s">
        <v>1805</v>
      </c>
      <c r="B1" s="17"/>
      <c r="C1" s="17"/>
      <c r="D1" s="17"/>
      <c r="E1" s="17"/>
      <c r="F1" s="17"/>
      <c r="G1" s="17"/>
      <c r="H1" s="17"/>
    </row>
    <row r="3" spans="1:8" x14ac:dyDescent="0.3">
      <c r="A3" s="11" t="s">
        <v>1806</v>
      </c>
      <c r="B3" s="11" t="s">
        <v>987</v>
      </c>
      <c r="D3" s="11" t="s">
        <v>1751</v>
      </c>
      <c r="E3" s="11" t="s">
        <v>1701</v>
      </c>
      <c r="F3" s="11" t="s">
        <v>1763</v>
      </c>
      <c r="G3" s="11" t="s">
        <v>1765</v>
      </c>
      <c r="H3" s="11" t="s">
        <v>1766</v>
      </c>
    </row>
    <row r="4" spans="1:8" x14ac:dyDescent="0.3">
      <c r="A4" t="s">
        <v>1807</v>
      </c>
      <c r="B4" s="15">
        <f>VLOOKUP("BaseHP",BALANCE_INPUTS!$B$4:$C$18,2,FALSE)</f>
        <v>1000</v>
      </c>
      <c r="D4" t="str">
        <f>BUILD_CALCULATOR!A4</f>
        <v>Fireball Ignite Clear</v>
      </c>
      <c r="E4">
        <f>BUILD_CALCULATOR!B4</f>
        <v>10</v>
      </c>
      <c r="F4" s="15">
        <f>BUILD_CALCULATOR!O4</f>
        <v>669.06000000000006</v>
      </c>
      <c r="G4" s="15">
        <f>BUILD_CALCULATOR!R4</f>
        <v>7.7119845036319603</v>
      </c>
      <c r="H4" s="15">
        <f>BUILD_CALCULATOR!S4</f>
        <v>0.20746929655349797</v>
      </c>
    </row>
    <row r="5" spans="1:8" x14ac:dyDescent="0.3">
      <c r="A5" t="s">
        <v>1808</v>
      </c>
      <c r="B5" s="15">
        <f>VLOOKUP("GrowthRate",BALANCE_INPUTS!$B$4:$C$18,2,FALSE)</f>
        <v>1.2</v>
      </c>
      <c r="D5" t="str">
        <f>BUILD_CALCULATOR!A5</f>
        <v>Arc Chain Shock</v>
      </c>
      <c r="E5">
        <f>BUILD_CALCULATOR!B5</f>
        <v>10</v>
      </c>
      <c r="F5" s="15">
        <f>BUILD_CALCULATOR!O5</f>
        <v>253.125</v>
      </c>
      <c r="G5" s="15">
        <f>BUILD_CALCULATOR!R5</f>
        <v>20.38431744</v>
      </c>
      <c r="H5" s="15">
        <f>BUILD_CALCULATOR!S5</f>
        <v>7.8491713284465026E-2</v>
      </c>
    </row>
    <row r="6" spans="1:8" x14ac:dyDescent="0.3">
      <c r="A6" t="s">
        <v>1681</v>
      </c>
      <c r="B6" s="15">
        <f>VLOOKUP("BasePower",BALANCE_INPUTS!$B$4:$C$18,2,FALSE)</f>
        <v>450</v>
      </c>
      <c r="D6" t="str">
        <f>BUILD_CALCULATOR!A6</f>
        <v>Toxic Rain DoT Zone</v>
      </c>
      <c r="E6">
        <f>BUILD_CALCULATOR!B6</f>
        <v>10</v>
      </c>
      <c r="F6" s="15">
        <f>BUILD_CALCULATOR!O6</f>
        <v>452.09663999999998</v>
      </c>
      <c r="G6" s="15">
        <f>BUILD_CALCULATOR!R6</f>
        <v>11.413003095975233</v>
      </c>
      <c r="H6" s="15">
        <f>BUILD_CALCULATOR!S6</f>
        <v>0.14019097222222221</v>
      </c>
    </row>
    <row r="7" spans="1:8" x14ac:dyDescent="0.3">
      <c r="A7" t="s">
        <v>1809</v>
      </c>
      <c r="B7" s="15">
        <f>VLOOKUP("TargetTTK_Normal",BALANCE_INPUTS!$B$4:$C$18,2,FALSE)</f>
        <v>1.6</v>
      </c>
      <c r="D7" t="str">
        <f>BUILD_CALCULATOR!A7</f>
        <v>Animate Weapon Army</v>
      </c>
      <c r="E7">
        <f>BUILD_CALCULATOR!B7</f>
        <v>10</v>
      </c>
      <c r="F7" s="15">
        <f>BUILD_CALCULATOR!O7</f>
        <v>611.22275999999999</v>
      </c>
      <c r="G7" s="15">
        <f>BUILD_CALCULATOR!R7</f>
        <v>8.4417346500644044</v>
      </c>
      <c r="H7" s="15">
        <f>BUILD_CALCULATOR!S7</f>
        <v>0.18953450520833337</v>
      </c>
    </row>
    <row r="8" spans="1:8" x14ac:dyDescent="0.3">
      <c r="A8" t="s">
        <v>1810</v>
      </c>
      <c r="B8" s="15">
        <f>ENEMY_HP_CURVE!B13</f>
        <v>5159.7803519999998</v>
      </c>
      <c r="D8" t="str">
        <f>BUILD_CALCULATOR!A8</f>
        <v>Molten Strike Projectile</v>
      </c>
      <c r="E8">
        <f>BUILD_CALCULATOR!B8</f>
        <v>10</v>
      </c>
      <c r="F8" s="15">
        <f>BUILD_CALCULATOR!O8</f>
        <v>716.85</v>
      </c>
      <c r="G8" s="15">
        <f>BUILD_CALCULATOR!R8</f>
        <v>7.1978522033898296</v>
      </c>
      <c r="H8" s="15">
        <f>BUILD_CALCULATOR!S8</f>
        <v>0.22228853202160498</v>
      </c>
    </row>
    <row r="9" spans="1:8" x14ac:dyDescent="0.3">
      <c r="A9" t="s">
        <v>1811</v>
      </c>
      <c r="B9" s="15">
        <f>ENEMY_HP_CURVE!B33</f>
        <v>197813.5948331414</v>
      </c>
    </row>
  </sheetData>
  <mergeCells count="1">
    <mergeCell ref="A1:H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SKILL</vt:lpstr>
      <vt:lpstr>SUPPORT</vt:lpstr>
      <vt:lpstr>PARSED_ACTIVE</vt:lpstr>
      <vt:lpstr>PARSED_SUPPORT</vt:lpstr>
      <vt:lpstr>PARSE_SUMMARY</vt:lpstr>
      <vt:lpstr>DESIGN_ACTIVE</vt:lpstr>
      <vt:lpstr>DESIGN_SUPPORT</vt:lpstr>
      <vt:lpstr>DESIGN_SUMMARY</vt:lpstr>
      <vt:lpstr>DEFENSE_ACTIVE</vt:lpstr>
      <vt:lpstr>DEFENSE_SUPPORT_MODIFIERS</vt:lpstr>
      <vt:lpstr>DEFENSE_CONVERSION_RULES</vt:lpstr>
      <vt:lpstr>DEFENSE_SUMMARY</vt:lpstr>
      <vt:lpstr>BALANCE_INPUTS</vt:lpstr>
      <vt:lpstr>ENEMY_HP_CURVE</vt:lpstr>
      <vt:lpstr>ARCHETYPE_DPS_BUDGET</vt:lpstr>
      <vt:lpstr>SUPPORT_MODIFIER_CALC</vt:lpstr>
      <vt:lpstr>BUILD_CALCULATOR</vt:lpstr>
      <vt:lpstr>SKILL_DPS_BUDGET</vt:lpstr>
      <vt:lpstr>BALANCE_DASHBOARD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전상훈</dc:creator>
  <cp:lastModifiedBy>상훈 전</cp:lastModifiedBy>
  <dcterms:created xsi:type="dcterms:W3CDTF">2026-05-17T06:39:09Z</dcterms:created>
  <dcterms:modified xsi:type="dcterms:W3CDTF">2026-05-17T06:41:12Z</dcterms:modified>
</cp:coreProperties>
</file>